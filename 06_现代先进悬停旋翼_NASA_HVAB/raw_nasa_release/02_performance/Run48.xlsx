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lwagner1_ndc_nasa_gov1/Documents/Desktop/Hover Test/DATA/FINAL DATASET/PERFORMANCE/"/>
    </mc:Choice>
  </mc:AlternateContent>
  <xr:revisionPtr revIDLastSave="29" documentId="8_{0B8B3F51-C3E4-482E-B11A-E7039767B6D5}" xr6:coauthVersionLast="47" xr6:coauthVersionMax="47" xr10:uidLastSave="{578681BB-4F85-4E8B-9076-9BC916ABEA54}"/>
  <bookViews>
    <workbookView xWindow="-108" yWindow="-108" windowWidth="23256" windowHeight="12576" activeTab="1" xr2:uid="{66E192D2-3B40-4DC6-88B9-0A4FD0C67B86}"/>
  </bookViews>
  <sheets>
    <sheet name="averages" sheetId="1" r:id="rId1"/>
    <sheet name="errors" sheetId="2" r:id="rId2"/>
  </sheets>
  <externalReferences>
    <externalReference r:id="rId3"/>
  </externalReferences>
  <definedNames>
    <definedName name="C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2" l="1"/>
  <c r="T11" i="2" a="1"/>
  <c r="T11" i="2" s="1"/>
  <c r="N11" i="2" a="1"/>
  <c r="N11" i="2" s="1"/>
  <c r="H11" i="2" a="1"/>
  <c r="H11" i="2" s="1"/>
  <c r="F11" i="2"/>
  <c r="A11" i="2"/>
  <c r="Y10" i="2" a="1"/>
  <c r="Y10" i="2" s="1"/>
  <c r="S10" i="2" a="1"/>
  <c r="S10" i="2" s="1"/>
  <c r="M10" i="2" a="1"/>
  <c r="M10" i="2" s="1"/>
  <c r="G10" i="2" a="1"/>
  <c r="G10" i="2" s="1"/>
  <c r="A10" i="2"/>
  <c r="F9" i="2"/>
  <c r="A9" i="2"/>
  <c r="F8" i="2"/>
  <c r="E8" i="2" a="1"/>
  <c r="E8" i="2" s="1"/>
  <c r="A8" i="2"/>
  <c r="A7" i="2"/>
  <c r="V6" i="2" a="1"/>
  <c r="V6" i="2" s="1"/>
  <c r="P6" i="2" a="1"/>
  <c r="P6" i="2" s="1"/>
  <c r="J6" i="2" a="1"/>
  <c r="J6" i="2" s="1"/>
  <c r="F6" i="2"/>
  <c r="A6" i="2"/>
  <c r="U5" i="2" a="1"/>
  <c r="U5" i="2" s="1"/>
  <c r="O5" i="2" a="1"/>
  <c r="O5" i="2" s="1"/>
  <c r="I5" i="2" a="1"/>
  <c r="I5" i="2" s="1"/>
  <c r="C5" i="2" a="1"/>
  <c r="C5" i="2" s="1"/>
  <c r="A5" i="2"/>
  <c r="A4" i="2"/>
  <c r="T3" i="2" a="1"/>
  <c r="T3" i="2" s="1"/>
  <c r="N3" i="2" a="1"/>
  <c r="N3" i="2" s="1"/>
  <c r="H3" i="2" a="1"/>
  <c r="H3" i="2" s="1"/>
  <c r="A3" i="2"/>
  <c r="B2" i="2" a="1"/>
  <c r="Y11" i="2" s="1" a="1"/>
  <c r="Y11" i="2" s="1"/>
  <c r="A2" i="2"/>
  <c r="H4" i="2" l="1" a="1"/>
  <c r="H4" i="2" s="1"/>
  <c r="N4" i="2" a="1"/>
  <c r="N4" i="2" s="1"/>
  <c r="T4" i="2" a="1"/>
  <c r="T4" i="2" s="1"/>
  <c r="C6" i="2" a="1"/>
  <c r="C6" i="2" s="1"/>
  <c r="D7" i="2" a="1"/>
  <c r="D7" i="2" s="1"/>
  <c r="J7" i="2" a="1"/>
  <c r="J7" i="2" s="1"/>
  <c r="P7" i="2" a="1"/>
  <c r="P7" i="2" s="1"/>
  <c r="V7" i="2" a="1"/>
  <c r="V7" i="2" s="1"/>
  <c r="K8" i="2" a="1"/>
  <c r="K8" i="2" s="1"/>
  <c r="Q8" i="2" a="1"/>
  <c r="Q8" i="2" s="1"/>
  <c r="W8" i="2" a="1"/>
  <c r="W8" i="2" s="1"/>
  <c r="L9" i="2" a="1"/>
  <c r="L9" i="2" s="1"/>
  <c r="R9" i="2" a="1"/>
  <c r="R9" i="2" s="1"/>
  <c r="X9" i="2" a="1"/>
  <c r="X9" i="2" s="1"/>
  <c r="H12" i="2" a="1"/>
  <c r="H12" i="2" s="1"/>
  <c r="N12" i="2" a="1"/>
  <c r="N12" i="2" s="1"/>
  <c r="T12" i="2" a="1"/>
  <c r="T12" i="2" s="1"/>
  <c r="C4" i="2" a="1"/>
  <c r="C4" i="2" s="1"/>
  <c r="I4" i="2" a="1"/>
  <c r="I4" i="2" s="1"/>
  <c r="O4" i="2" a="1"/>
  <c r="O4" i="2" s="1"/>
  <c r="U4" i="2" a="1"/>
  <c r="U4" i="2" s="1"/>
  <c r="D6" i="2" a="1"/>
  <c r="D6" i="2" s="1"/>
  <c r="E7" i="2" a="1"/>
  <c r="E7" i="2" s="1"/>
  <c r="K7" i="2" a="1"/>
  <c r="K7" i="2" s="1"/>
  <c r="Q7" i="2" a="1"/>
  <c r="Q7" i="2" s="1"/>
  <c r="W7" i="2" a="1"/>
  <c r="W7" i="2" s="1"/>
  <c r="L8" i="2" a="1"/>
  <c r="L8" i="2" s="1"/>
  <c r="R8" i="2" a="1"/>
  <c r="R8" i="2" s="1"/>
  <c r="X8" i="2" a="1"/>
  <c r="X8" i="2" s="1"/>
  <c r="G9" i="2" a="1"/>
  <c r="G9" i="2" s="1"/>
  <c r="M9" i="2" a="1"/>
  <c r="M9" i="2" s="1"/>
  <c r="S9" i="2" a="1"/>
  <c r="S9" i="2" s="1"/>
  <c r="Y9" i="2" a="1"/>
  <c r="Y9" i="2" s="1"/>
  <c r="C12" i="2" a="1"/>
  <c r="C12" i="2" s="1"/>
  <c r="I12" i="2" a="1"/>
  <c r="I12" i="2" s="1"/>
  <c r="O12" i="2" a="1"/>
  <c r="O12" i="2" s="1"/>
  <c r="U12" i="2" a="1"/>
  <c r="U12" i="2" s="1"/>
  <c r="B2" i="2"/>
  <c r="C3" i="2" a="1"/>
  <c r="C3" i="2" s="1"/>
  <c r="I3" i="2" a="1"/>
  <c r="I3" i="2" s="1"/>
  <c r="O3" i="2" a="1"/>
  <c r="O3" i="2" s="1"/>
  <c r="U3" i="2" a="1"/>
  <c r="U3" i="2" s="1"/>
  <c r="D5" i="2" a="1"/>
  <c r="D5" i="2" s="1"/>
  <c r="J5" i="2" a="1"/>
  <c r="J5" i="2" s="1"/>
  <c r="P5" i="2" a="1"/>
  <c r="P5" i="2" s="1"/>
  <c r="V5" i="2" a="1"/>
  <c r="V5" i="2" s="1"/>
  <c r="K6" i="2" a="1"/>
  <c r="K6" i="2" s="1"/>
  <c r="Q6" i="2" a="1"/>
  <c r="Q6" i="2" s="1"/>
  <c r="W6" i="2" a="1"/>
  <c r="W6" i="2" s="1"/>
  <c r="H10" i="2" a="1"/>
  <c r="H10" i="2" s="1"/>
  <c r="N10" i="2" a="1"/>
  <c r="N10" i="2" s="1"/>
  <c r="T10" i="2" a="1"/>
  <c r="T10" i="2" s="1"/>
  <c r="I11" i="2" a="1"/>
  <c r="I11" i="2" s="1"/>
  <c r="O11" i="2" a="1"/>
  <c r="O11" i="2" s="1"/>
  <c r="U11" i="2" a="1"/>
  <c r="U11" i="2" s="1"/>
  <c r="D4" i="2" a="1"/>
  <c r="D4" i="2" s="1"/>
  <c r="P4" i="2" a="1"/>
  <c r="P4" i="2" s="1"/>
  <c r="V4" i="2" a="1"/>
  <c r="V4" i="2" s="1"/>
  <c r="E6" i="2" a="1"/>
  <c r="E6" i="2" s="1"/>
  <c r="F7" i="2" a="1"/>
  <c r="F7" i="2" s="1"/>
  <c r="L7" i="2" a="1"/>
  <c r="L7" i="2" s="1"/>
  <c r="R7" i="2" a="1"/>
  <c r="R7" i="2" s="1"/>
  <c r="X7" i="2" a="1"/>
  <c r="X7" i="2" s="1"/>
  <c r="G8" i="2" a="1"/>
  <c r="G8" i="2" s="1"/>
  <c r="M8" i="2" a="1"/>
  <c r="M8" i="2" s="1"/>
  <c r="S8" i="2" a="1"/>
  <c r="S8" i="2" s="1"/>
  <c r="Y8" i="2" a="1"/>
  <c r="Y8" i="2" s="1"/>
  <c r="H9" i="2" a="1"/>
  <c r="H9" i="2" s="1"/>
  <c r="N9" i="2" a="1"/>
  <c r="N9" i="2" s="1"/>
  <c r="T9" i="2" a="1"/>
  <c r="T9" i="2" s="1"/>
  <c r="C11" i="2" a="1"/>
  <c r="C11" i="2" s="1"/>
  <c r="D12" i="2" a="1"/>
  <c r="D12" i="2" s="1"/>
  <c r="J12" i="2" a="1"/>
  <c r="J12" i="2" s="1"/>
  <c r="P12" i="2" a="1"/>
  <c r="P12" i="2" s="1"/>
  <c r="V12" i="2" a="1"/>
  <c r="V12" i="2" s="1"/>
  <c r="J4" i="2" a="1"/>
  <c r="J4" i="2" s="1"/>
  <c r="D3" i="2" a="1"/>
  <c r="D3" i="2" s="1"/>
  <c r="J3" i="2" a="1"/>
  <c r="J3" i="2" s="1"/>
  <c r="P3" i="2" a="1"/>
  <c r="P3" i="2" s="1"/>
  <c r="V3" i="2" a="1"/>
  <c r="V3" i="2" s="1"/>
  <c r="E5" i="2" a="1"/>
  <c r="E5" i="2" s="1"/>
  <c r="K5" i="2" a="1"/>
  <c r="K5" i="2" s="1"/>
  <c r="Q5" i="2" a="1"/>
  <c r="Q5" i="2" s="1"/>
  <c r="W5" i="2" a="1"/>
  <c r="W5" i="2" s="1"/>
  <c r="L6" i="2" a="1"/>
  <c r="L6" i="2" s="1"/>
  <c r="R6" i="2" a="1"/>
  <c r="R6" i="2" s="1"/>
  <c r="X6" i="2" a="1"/>
  <c r="X6" i="2" s="1"/>
  <c r="C10" i="2" a="1"/>
  <c r="C10" i="2" s="1"/>
  <c r="I10" i="2" a="1"/>
  <c r="I10" i="2" s="1"/>
  <c r="O10" i="2" a="1"/>
  <c r="O10" i="2" s="1"/>
  <c r="U10" i="2" a="1"/>
  <c r="U10" i="2" s="1"/>
  <c r="J11" i="2" a="1"/>
  <c r="J11" i="2" s="1"/>
  <c r="P11" i="2" a="1"/>
  <c r="P11" i="2" s="1"/>
  <c r="V11" i="2" a="1"/>
  <c r="V11" i="2" s="1"/>
  <c r="K4" i="2" a="1"/>
  <c r="K4" i="2" s="1"/>
  <c r="Q4" i="2" a="1"/>
  <c r="Q4" i="2" s="1"/>
  <c r="W4" i="2" a="1"/>
  <c r="W4" i="2" s="1"/>
  <c r="G7" i="2" a="1"/>
  <c r="G7" i="2" s="1"/>
  <c r="M7" i="2" a="1"/>
  <c r="M7" i="2" s="1"/>
  <c r="S7" i="2" a="1"/>
  <c r="S7" i="2" s="1"/>
  <c r="Y7" i="2" a="1"/>
  <c r="Y7" i="2" s="1"/>
  <c r="H8" i="2" a="1"/>
  <c r="H8" i="2" s="1"/>
  <c r="N8" i="2" a="1"/>
  <c r="N8" i="2" s="1"/>
  <c r="T8" i="2" a="1"/>
  <c r="T8" i="2" s="1"/>
  <c r="I9" i="2" a="1"/>
  <c r="I9" i="2" s="1"/>
  <c r="O9" i="2" a="1"/>
  <c r="O9" i="2" s="1"/>
  <c r="U9" i="2" a="1"/>
  <c r="U9" i="2" s="1"/>
  <c r="D11" i="2" a="1"/>
  <c r="D11" i="2" s="1"/>
  <c r="E12" i="2" a="1"/>
  <c r="E12" i="2" s="1"/>
  <c r="K12" i="2" a="1"/>
  <c r="K12" i="2" s="1"/>
  <c r="Q12" i="2" a="1"/>
  <c r="Q12" i="2" s="1"/>
  <c r="W12" i="2" a="1"/>
  <c r="W12" i="2" s="1"/>
  <c r="E4" i="2" a="1"/>
  <c r="E4" i="2" s="1"/>
  <c r="E3" i="2" a="1"/>
  <c r="E3" i="2" s="1"/>
  <c r="K3" i="2" a="1"/>
  <c r="K3" i="2" s="1"/>
  <c r="Q3" i="2" a="1"/>
  <c r="Q3" i="2" s="1"/>
  <c r="W3" i="2" a="1"/>
  <c r="W3" i="2" s="1"/>
  <c r="F5" i="2" a="1"/>
  <c r="F5" i="2" s="1"/>
  <c r="L5" i="2" a="1"/>
  <c r="L5" i="2" s="1"/>
  <c r="R5" i="2" a="1"/>
  <c r="R5" i="2" s="1"/>
  <c r="X5" i="2" a="1"/>
  <c r="X5" i="2" s="1"/>
  <c r="G6" i="2" a="1"/>
  <c r="G6" i="2" s="1"/>
  <c r="M6" i="2" a="1"/>
  <c r="M6" i="2" s="1"/>
  <c r="S6" i="2" a="1"/>
  <c r="S6" i="2" s="1"/>
  <c r="Y6" i="2" a="1"/>
  <c r="Y6" i="2" s="1"/>
  <c r="C9" i="2" a="1"/>
  <c r="C9" i="2" s="1"/>
  <c r="D10" i="2" a="1"/>
  <c r="D10" i="2" s="1"/>
  <c r="J10" i="2" a="1"/>
  <c r="J10" i="2" s="1"/>
  <c r="P10" i="2" a="1"/>
  <c r="P10" i="2" s="1"/>
  <c r="V10" i="2" a="1"/>
  <c r="V10" i="2" s="1"/>
  <c r="K11" i="2" a="1"/>
  <c r="K11" i="2" s="1"/>
  <c r="Q11" i="2" a="1"/>
  <c r="Q11" i="2" s="1"/>
  <c r="W11" i="2" a="1"/>
  <c r="W11" i="2" s="1"/>
  <c r="F4" i="2" a="1"/>
  <c r="F4" i="2" s="1"/>
  <c r="L4" i="2" a="1"/>
  <c r="L4" i="2" s="1"/>
  <c r="R4" i="2" a="1"/>
  <c r="R4" i="2" s="1"/>
  <c r="X4" i="2" a="1"/>
  <c r="X4" i="2" s="1"/>
  <c r="H7" i="2" a="1"/>
  <c r="H7" i="2" s="1"/>
  <c r="N7" i="2" a="1"/>
  <c r="N7" i="2" s="1"/>
  <c r="T7" i="2" a="1"/>
  <c r="T7" i="2" s="1"/>
  <c r="I8" i="2" a="1"/>
  <c r="I8" i="2" s="1"/>
  <c r="O8" i="2" a="1"/>
  <c r="O8" i="2" s="1"/>
  <c r="U8" i="2" a="1"/>
  <c r="U8" i="2" s="1"/>
  <c r="J9" i="2" a="1"/>
  <c r="J9" i="2" s="1"/>
  <c r="P9" i="2" a="1"/>
  <c r="P9" i="2" s="1"/>
  <c r="V9" i="2" a="1"/>
  <c r="V9" i="2" s="1"/>
  <c r="E11" i="2" a="1"/>
  <c r="E11" i="2" s="1"/>
  <c r="F12" i="2" a="1"/>
  <c r="F12" i="2" s="1"/>
  <c r="L12" i="2" a="1"/>
  <c r="L12" i="2" s="1"/>
  <c r="R12" i="2" a="1"/>
  <c r="R12" i="2" s="1"/>
  <c r="X12" i="2" a="1"/>
  <c r="X12" i="2" s="1"/>
  <c r="F3" i="2" a="1"/>
  <c r="F3" i="2" s="1"/>
  <c r="L3" i="2" a="1"/>
  <c r="L3" i="2" s="1"/>
  <c r="R3" i="2" a="1"/>
  <c r="R3" i="2" s="1"/>
  <c r="X3" i="2" a="1"/>
  <c r="X3" i="2" s="1"/>
  <c r="G5" i="2" a="1"/>
  <c r="G5" i="2" s="1"/>
  <c r="M5" i="2" a="1"/>
  <c r="M5" i="2" s="1"/>
  <c r="S5" i="2" a="1"/>
  <c r="S5" i="2" s="1"/>
  <c r="Y5" i="2" a="1"/>
  <c r="Y5" i="2" s="1"/>
  <c r="H6" i="2" a="1"/>
  <c r="H6" i="2" s="1"/>
  <c r="N6" i="2" a="1"/>
  <c r="N6" i="2" s="1"/>
  <c r="T6" i="2" a="1"/>
  <c r="T6" i="2" s="1"/>
  <c r="C8" i="2" a="1"/>
  <c r="C8" i="2" s="1"/>
  <c r="D9" i="2" a="1"/>
  <c r="D9" i="2" s="1"/>
  <c r="E10" i="2" a="1"/>
  <c r="E10" i="2" s="1"/>
  <c r="K10" i="2" a="1"/>
  <c r="K10" i="2" s="1"/>
  <c r="Q10" i="2" a="1"/>
  <c r="Q10" i="2" s="1"/>
  <c r="W10" i="2" a="1"/>
  <c r="W10" i="2" s="1"/>
  <c r="L11" i="2" a="1"/>
  <c r="L11" i="2" s="1"/>
  <c r="R11" i="2" a="1"/>
  <c r="R11" i="2" s="1"/>
  <c r="X11" i="2" a="1"/>
  <c r="X11" i="2" s="1"/>
  <c r="G4" i="2" a="1"/>
  <c r="G4" i="2" s="1"/>
  <c r="M4" i="2" a="1"/>
  <c r="M4" i="2" s="1"/>
  <c r="S4" i="2" a="1"/>
  <c r="S4" i="2" s="1"/>
  <c r="Y4" i="2" a="1"/>
  <c r="Y4" i="2" s="1"/>
  <c r="C7" i="2" a="1"/>
  <c r="C7" i="2" s="1"/>
  <c r="I7" i="2" a="1"/>
  <c r="I7" i="2" s="1"/>
  <c r="O7" i="2" a="1"/>
  <c r="O7" i="2" s="1"/>
  <c r="U7" i="2" a="1"/>
  <c r="U7" i="2" s="1"/>
  <c r="J8" i="2" a="1"/>
  <c r="J8" i="2" s="1"/>
  <c r="P8" i="2" a="1"/>
  <c r="P8" i="2" s="1"/>
  <c r="V8" i="2" a="1"/>
  <c r="V8" i="2" s="1"/>
  <c r="K9" i="2" a="1"/>
  <c r="K9" i="2" s="1"/>
  <c r="Q9" i="2" a="1"/>
  <c r="Q9" i="2" s="1"/>
  <c r="W9" i="2" a="1"/>
  <c r="W9" i="2" s="1"/>
  <c r="G12" i="2" a="1"/>
  <c r="G12" i="2" s="1"/>
  <c r="M12" i="2" a="1"/>
  <c r="M12" i="2" s="1"/>
  <c r="S12" i="2" a="1"/>
  <c r="S12" i="2" s="1"/>
  <c r="Y12" i="2" a="1"/>
  <c r="Y12" i="2" s="1"/>
  <c r="G3" i="2" a="1"/>
  <c r="G3" i="2" s="1"/>
  <c r="M3" i="2" a="1"/>
  <c r="M3" i="2" s="1"/>
  <c r="S3" i="2" a="1"/>
  <c r="S3" i="2" s="1"/>
  <c r="Y3" i="2" a="1"/>
  <c r="Y3" i="2" s="1"/>
  <c r="H5" i="2" a="1"/>
  <c r="H5" i="2" s="1"/>
  <c r="N5" i="2" a="1"/>
  <c r="N5" i="2" s="1"/>
  <c r="T5" i="2" a="1"/>
  <c r="T5" i="2" s="1"/>
  <c r="I6" i="2" a="1"/>
  <c r="I6" i="2" s="1"/>
  <c r="O6" i="2" a="1"/>
  <c r="O6" i="2" s="1"/>
  <c r="U6" i="2" a="1"/>
  <c r="U6" i="2" s="1"/>
  <c r="D8" i="2" a="1"/>
  <c r="D8" i="2" s="1"/>
  <c r="E9" i="2" a="1"/>
  <c r="E9" i="2" s="1"/>
  <c r="F10" i="2" a="1"/>
  <c r="F10" i="2" s="1"/>
  <c r="L10" i="2" a="1"/>
  <c r="L10" i="2" s="1"/>
  <c r="R10" i="2" a="1"/>
  <c r="R10" i="2" s="1"/>
  <c r="X10" i="2" a="1"/>
  <c r="X10" i="2" s="1"/>
  <c r="G11" i="2" a="1"/>
  <c r="G11" i="2" s="1"/>
  <c r="M11" i="2" a="1"/>
  <c r="M11" i="2" s="1"/>
  <c r="S11" i="2" a="1"/>
  <c r="S11" i="2" s="1"/>
  <c r="L2" i="2" l="1" a="1"/>
  <c r="L2" i="2" s="1"/>
  <c r="F2" i="2" a="1"/>
  <c r="F2" i="2" s="1"/>
  <c r="I2" i="2" a="1"/>
  <c r="I2" i="2" s="1"/>
  <c r="X2" i="2" a="1"/>
  <c r="X2" i="2" s="1"/>
  <c r="R2" i="2" a="1"/>
  <c r="R2" i="2" s="1"/>
  <c r="Q2" i="2" a="1"/>
  <c r="Q2" i="2" s="1"/>
  <c r="K2" i="2" a="1"/>
  <c r="K2" i="2" s="1"/>
  <c r="D2" i="2" a="1"/>
  <c r="D2" i="2" s="1"/>
  <c r="W2" i="2" a="1"/>
  <c r="W2" i="2" s="1"/>
  <c r="E2" i="2" a="1"/>
  <c r="E2" i="2" s="1"/>
  <c r="O2" i="2" a="1"/>
  <c r="O2" i="2" s="1"/>
  <c r="J2" i="2" a="1"/>
  <c r="J2" i="2" s="1"/>
  <c r="V2" i="2" a="1"/>
  <c r="V2" i="2" s="1"/>
  <c r="P2" i="2" a="1"/>
  <c r="P2" i="2" s="1"/>
  <c r="U2" i="2" a="1"/>
  <c r="U2" i="2" s="1"/>
  <c r="C2" i="2" a="1"/>
  <c r="C2" i="2" s="1"/>
  <c r="N2" i="2" a="1"/>
  <c r="N2" i="2" s="1"/>
  <c r="T2" i="2" a="1"/>
  <c r="T2" i="2" s="1"/>
  <c r="H2" i="2" a="1"/>
  <c r="H2" i="2" s="1"/>
  <c r="Y2" i="2" a="1"/>
  <c r="Y2" i="2" s="1"/>
  <c r="S2" i="2" a="1"/>
  <c r="S2" i="2" s="1"/>
  <c r="M2" i="2" a="1"/>
  <c r="M2" i="2" s="1"/>
  <c r="G2" i="2" a="1"/>
  <c r="G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<sst xmlns="http://schemas.openxmlformats.org/spreadsheetml/2006/main" count="68" uniqueCount="44">
  <si>
    <t>BPITCH1</t>
  </si>
  <si>
    <t>BPITCH2</t>
  </si>
  <si>
    <t>BPITCH3</t>
  </si>
  <si>
    <t>BPITCH4</t>
  </si>
  <si>
    <t>BPITCH</t>
  </si>
  <si>
    <t>FLAP1</t>
  </si>
  <si>
    <t>FLAP2</t>
  </si>
  <si>
    <t>FLAP3</t>
  </si>
  <si>
    <t>FLAP4</t>
  </si>
  <si>
    <t>FLAP</t>
  </si>
  <si>
    <t>LAG1</t>
  </si>
  <si>
    <t>LAG2</t>
  </si>
  <si>
    <t>LAG3</t>
  </si>
  <si>
    <t>LAG4</t>
  </si>
  <si>
    <t>LAG</t>
  </si>
  <si>
    <t>THRUST</t>
  </si>
  <si>
    <t>TORQ</t>
  </si>
  <si>
    <t>CT</t>
  </si>
  <si>
    <t>CTOS</t>
  </si>
  <si>
    <t>CP</t>
  </si>
  <si>
    <t>CPOS</t>
  </si>
  <si>
    <t>CPOS ID</t>
  </si>
  <si>
    <t>FMERIT</t>
  </si>
  <si>
    <t>COLL</t>
  </si>
  <si>
    <t>Name</t>
  </si>
  <si>
    <t>RPM</t>
  </si>
  <si>
    <t>MTIP</t>
  </si>
  <si>
    <t>COLL_SP</t>
  </si>
  <si>
    <t>PS</t>
  </si>
  <si>
    <t>TSF</t>
  </si>
  <si>
    <t>RH</t>
  </si>
  <si>
    <t>RHO</t>
  </si>
  <si>
    <t>CSND</t>
  </si>
  <si>
    <t>R48M675TH04</t>
  </si>
  <si>
    <t>R48M675TH05</t>
  </si>
  <si>
    <t>R48M675TH06</t>
  </si>
  <si>
    <t>R48M675TH07</t>
  </si>
  <si>
    <t>R48M675TH08</t>
  </si>
  <si>
    <t>R48M675TH09</t>
  </si>
  <si>
    <t>R48M675TH10</t>
  </si>
  <si>
    <t>R48M675TH11</t>
  </si>
  <si>
    <t>R48M675TH12</t>
  </si>
  <si>
    <t>R48M675TH13</t>
  </si>
  <si>
    <t>R48M675TH14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</si>
</sst>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lwagner1_ndc_nasa_gov1/Documents/Desktop/Hover%20Test/DATA/FINAL%20DATASET/Run48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tants"/>
      <sheetName val="raw data"/>
      <sheetName val="avg manual"/>
      <sheetName val="averages"/>
      <sheetName val="conf. int."/>
    </sheetNames>
    <sheetDataSet>
      <sheetData sheetId="0">
        <row r="2">
          <cell r="H2">
            <v>1.8</v>
          </cell>
          <cell r="K2">
            <v>10</v>
          </cell>
          <cell r="L2">
            <v>0</v>
          </cell>
          <cell r="M2">
            <v>0.78290177162984287</v>
          </cell>
          <cell r="N2">
            <v>1.1915570973769514</v>
          </cell>
          <cell r="O2">
            <v>0.25764562997533319</v>
          </cell>
        </row>
        <row r="3">
          <cell r="K3">
            <v>10</v>
          </cell>
          <cell r="L3">
            <v>0</v>
          </cell>
          <cell r="M3">
            <v>9.1210374299153615E-2</v>
          </cell>
          <cell r="N3">
            <v>0.1313033717984512</v>
          </cell>
          <cell r="O3">
            <v>1.1353537504268703</v>
          </cell>
        </row>
        <row r="4">
          <cell r="K4">
            <v>10</v>
          </cell>
          <cell r="L4">
            <v>0</v>
          </cell>
          <cell r="M4">
            <v>0.42039641438312148</v>
          </cell>
          <cell r="N4">
            <v>3.5260070798143042E-2</v>
          </cell>
          <cell r="O4">
            <v>1.085773463218983</v>
          </cell>
        </row>
        <row r="5">
          <cell r="K5">
            <v>11</v>
          </cell>
          <cell r="L5">
            <v>0</v>
          </cell>
          <cell r="M5">
            <v>0.46651222979337548</v>
          </cell>
          <cell r="N5">
            <v>2.8822028079981479E-2</v>
          </cell>
          <cell r="O5">
            <v>1.0638303978323695</v>
          </cell>
        </row>
        <row r="6">
          <cell r="K6">
            <v>10</v>
          </cell>
          <cell r="L6">
            <v>9</v>
          </cell>
          <cell r="M6">
            <v>0.44837546205491441</v>
          </cell>
          <cell r="N6">
            <v>2.9432676535943669E-2</v>
          </cell>
          <cell r="O6">
            <v>1.0610610356491343</v>
          </cell>
        </row>
        <row r="7">
          <cell r="K7">
            <v>10</v>
          </cell>
          <cell r="L7">
            <v>10</v>
          </cell>
          <cell r="M7">
            <v>0.44190482729480118</v>
          </cell>
          <cell r="N7">
            <v>3.1144342312851226E-2</v>
          </cell>
          <cell r="O7">
            <v>1.0590562304152862</v>
          </cell>
        </row>
        <row r="8">
          <cell r="K8">
            <v>10</v>
          </cell>
          <cell r="L8">
            <v>8</v>
          </cell>
          <cell r="M8">
            <v>0.44186499696146675</v>
          </cell>
          <cell r="N8">
            <v>3.1086224637180304E-2</v>
          </cell>
          <cell r="O8">
            <v>1.0565450445776849</v>
          </cell>
        </row>
        <row r="9">
          <cell r="K9">
            <v>10</v>
          </cell>
          <cell r="L9">
            <v>6</v>
          </cell>
          <cell r="M9">
            <v>0.43906510070847571</v>
          </cell>
          <cell r="N9">
            <v>3.1202313309141302E-2</v>
          </cell>
          <cell r="O9">
            <v>1.0554162192622618</v>
          </cell>
        </row>
        <row r="10">
          <cell r="K10">
            <v>10</v>
          </cell>
          <cell r="L10">
            <v>10</v>
          </cell>
          <cell r="M10">
            <v>0.43796138959337694</v>
          </cell>
          <cell r="N10">
            <v>3.1052278331470069E-2</v>
          </cell>
          <cell r="O10">
            <v>1.0548065571921388</v>
          </cell>
        </row>
        <row r="11">
          <cell r="K11">
            <v>10</v>
          </cell>
          <cell r="L11">
            <v>10</v>
          </cell>
          <cell r="M11">
            <v>0.47370316548796249</v>
          </cell>
          <cell r="N11">
            <v>3.0702514472201431E-2</v>
          </cell>
          <cell r="O11">
            <v>1.0520752438667873</v>
          </cell>
        </row>
        <row r="12">
          <cell r="K12">
            <v>10</v>
          </cell>
          <cell r="L12">
            <v>10</v>
          </cell>
          <cell r="M12">
            <v>0.46624515479394557</v>
          </cell>
          <cell r="N12">
            <v>3.0947554260739411E-2</v>
          </cell>
          <cell r="O12">
            <v>1.0507786401345012</v>
          </cell>
        </row>
        <row r="13">
          <cell r="M13">
            <v>0.46677474055975743</v>
          </cell>
          <cell r="N13">
            <v>3.1235251389465722E-2</v>
          </cell>
          <cell r="O13">
            <v>1.0480235649154159</v>
          </cell>
        </row>
        <row r="14">
          <cell r="M14">
            <v>0.46839074317514179</v>
          </cell>
          <cell r="N14">
            <v>3.1300796221395609E-2</v>
          </cell>
          <cell r="O14">
            <v>1.0472059149282078</v>
          </cell>
        </row>
        <row r="15">
          <cell r="M15">
            <v>0.6257529009164533</v>
          </cell>
          <cell r="N15">
            <v>3.1648472671449532E-2</v>
          </cell>
          <cell r="O15">
            <v>1.0101886518348275</v>
          </cell>
        </row>
        <row r="16">
          <cell r="M16">
            <v>0.66114495297001374</v>
          </cell>
          <cell r="N16">
            <v>3.2489617268078377E-2</v>
          </cell>
          <cell r="O16">
            <v>0.99505622862776566</v>
          </cell>
        </row>
        <row r="17">
          <cell r="M17">
            <v>0.66023987146004237</v>
          </cell>
          <cell r="N17">
            <v>3.2695873460074021E-2</v>
          </cell>
          <cell r="O17">
            <v>0.99575794551396313</v>
          </cell>
        </row>
        <row r="18">
          <cell r="M18">
            <v>0.65589658357628255</v>
          </cell>
          <cell r="N18">
            <v>3.2794311278009025E-2</v>
          </cell>
          <cell r="O18">
            <v>0.99677760057285114</v>
          </cell>
        </row>
        <row r="19">
          <cell r="M19">
            <v>0.65782244966744918</v>
          </cell>
          <cell r="N19">
            <v>3.274418341330762E-2</v>
          </cell>
          <cell r="O19">
            <v>0.99773729628764385</v>
          </cell>
        </row>
        <row r="20">
          <cell r="M20">
            <v>0.66628629522300642</v>
          </cell>
          <cell r="N20">
            <v>3.2736466392809443E-2</v>
          </cell>
          <cell r="O20">
            <v>1.0013883616564585</v>
          </cell>
        </row>
        <row r="21">
          <cell r="M21">
            <v>0.66236799073240737</v>
          </cell>
          <cell r="N21">
            <v>3.296011299778856E-2</v>
          </cell>
          <cell r="O21">
            <v>1.0023342578027314</v>
          </cell>
        </row>
        <row r="22">
          <cell r="M22">
            <v>0.66830490231702244</v>
          </cell>
          <cell r="N22">
            <v>3.2928263871323096E-2</v>
          </cell>
          <cell r="O22">
            <v>1.006074779811309</v>
          </cell>
        </row>
        <row r="23">
          <cell r="M23">
            <v>0.65691335828055619</v>
          </cell>
          <cell r="N23">
            <v>3.4064645595748254E-2</v>
          </cell>
          <cell r="O23">
            <v>1.0084292813815567</v>
          </cell>
        </row>
        <row r="24">
          <cell r="M24">
            <v>0.65759488184978654</v>
          </cell>
          <cell r="N24">
            <v>3.4093599378124034E-2</v>
          </cell>
          <cell r="O24">
            <v>1.0083389529021356</v>
          </cell>
        </row>
        <row r="25">
          <cell r="M25">
            <v>0.80626929957286364</v>
          </cell>
          <cell r="N25">
            <v>3.3264625857557711E-2</v>
          </cell>
          <cell r="O25">
            <v>1.0098782992528621</v>
          </cell>
        </row>
        <row r="26">
          <cell r="M26">
            <v>0.76397833305548413</v>
          </cell>
          <cell r="N26">
            <v>3.7777873132506704E-2</v>
          </cell>
          <cell r="O26">
            <v>0.92685066591746379</v>
          </cell>
        </row>
        <row r="27">
          <cell r="M27">
            <v>0.7727623214332614</v>
          </cell>
          <cell r="N27">
            <v>3.6452853617865384E-2</v>
          </cell>
          <cell r="O27">
            <v>0.90383238525165432</v>
          </cell>
        </row>
        <row r="28">
          <cell r="M28">
            <v>0.77661953279337614</v>
          </cell>
          <cell r="N28">
            <v>3.5714628225140974E-2</v>
          </cell>
          <cell r="O28">
            <v>0.91753135611128234</v>
          </cell>
        </row>
        <row r="29">
          <cell r="M29">
            <v>0.75839070635235117</v>
          </cell>
          <cell r="N29">
            <v>3.9419995259382584E-2</v>
          </cell>
          <cell r="O29">
            <v>0.93515792093934258</v>
          </cell>
        </row>
        <row r="30">
          <cell r="M30">
            <v>0.77663696281958727</v>
          </cell>
          <cell r="N30">
            <v>3.8784220433344486E-2</v>
          </cell>
          <cell r="O30">
            <v>0.9429469106196825</v>
          </cell>
        </row>
        <row r="31">
          <cell r="M31">
            <v>0.77074869737343299</v>
          </cell>
          <cell r="N31">
            <v>3.9501771557303778E-2</v>
          </cell>
          <cell r="O31">
            <v>0.9500232020997541</v>
          </cell>
        </row>
        <row r="32">
          <cell r="M32">
            <v>0.76883106640192134</v>
          </cell>
          <cell r="N32">
            <v>4.1647762176848603E-2</v>
          </cell>
          <cell r="O32">
            <v>0.95211576361915917</v>
          </cell>
        </row>
        <row r="33">
          <cell r="M33">
            <v>0.76812978780192354</v>
          </cell>
          <cell r="N33">
            <v>3.8624753805469605E-2</v>
          </cell>
          <cell r="O33">
            <v>0.95953796154794524</v>
          </cell>
        </row>
        <row r="34">
          <cell r="M34">
            <v>0.75787784938824787</v>
          </cell>
          <cell r="N34">
            <v>4.0800385015342902E-2</v>
          </cell>
          <cell r="O34">
            <v>0.96746261973132408</v>
          </cell>
        </row>
        <row r="35">
          <cell r="M35">
            <v>0.86334559231360264</v>
          </cell>
          <cell r="N35">
            <v>2.9614315241536269E-2</v>
          </cell>
          <cell r="O35">
            <v>0.95400896460775431</v>
          </cell>
        </row>
        <row r="36">
          <cell r="M36">
            <v>0.85020899217286405</v>
          </cell>
          <cell r="N36">
            <v>3.2068121365154564E-2</v>
          </cell>
          <cell r="O36">
            <v>0.92598309839796011</v>
          </cell>
        </row>
        <row r="37">
          <cell r="M37">
            <v>0.85938157411531468</v>
          </cell>
          <cell r="N37">
            <v>3.3255196302099735E-2</v>
          </cell>
          <cell r="O37">
            <v>0.90733526577572654</v>
          </cell>
        </row>
        <row r="38">
          <cell r="M38">
            <v>0.8446080347990732</v>
          </cell>
          <cell r="N38">
            <v>3.2086030729154905E-2</v>
          </cell>
          <cell r="O38">
            <v>0.88346830437008417</v>
          </cell>
        </row>
        <row r="39">
          <cell r="M39">
            <v>0.83976853976488708</v>
          </cell>
          <cell r="N39">
            <v>3.5998607095534221E-2</v>
          </cell>
          <cell r="O39">
            <v>0.87693484890338169</v>
          </cell>
        </row>
        <row r="40">
          <cell r="M40">
            <v>0.81261253609593909</v>
          </cell>
          <cell r="N40">
            <v>4.0264143793343615E-2</v>
          </cell>
          <cell r="O40">
            <v>0.88322169163212094</v>
          </cell>
        </row>
        <row r="41">
          <cell r="M41">
            <v>0.84419680149480114</v>
          </cell>
          <cell r="N41">
            <v>3.6395427200884692E-2</v>
          </cell>
          <cell r="O41">
            <v>0.88646942215269287</v>
          </cell>
        </row>
        <row r="42">
          <cell r="M42">
            <v>0.83217676283497244</v>
          </cell>
          <cell r="N42">
            <v>3.9495613434177387E-2</v>
          </cell>
          <cell r="O42">
            <v>0.89006951812751745</v>
          </cell>
        </row>
        <row r="43">
          <cell r="M43">
            <v>0.83438338428283543</v>
          </cell>
          <cell r="N43">
            <v>4.0561683727132598E-2</v>
          </cell>
          <cell r="O43">
            <v>0.89420791803622668</v>
          </cell>
        </row>
        <row r="44">
          <cell r="M44">
            <v>0.84672853152044114</v>
          </cell>
          <cell r="N44">
            <v>3.8667092255312688E-2</v>
          </cell>
          <cell r="O44">
            <v>0.89827888008127188</v>
          </cell>
        </row>
        <row r="45">
          <cell r="M45">
            <v>0.84909823919223537</v>
          </cell>
          <cell r="N45">
            <v>3.7874244812086892E-2</v>
          </cell>
          <cell r="O45">
            <v>0.90391955286003478</v>
          </cell>
        </row>
        <row r="46">
          <cell r="M46">
            <v>0.29126730354512786</v>
          </cell>
          <cell r="N46">
            <v>4.097983411229561E-2</v>
          </cell>
          <cell r="O46">
            <v>0.78198184380494506</v>
          </cell>
        </row>
        <row r="47">
          <cell r="M47">
            <v>0.29943289903664255</v>
          </cell>
          <cell r="N47">
            <v>3.912375117079777E-2</v>
          </cell>
          <cell r="O47">
            <v>0.77110769231370069</v>
          </cell>
        </row>
        <row r="48">
          <cell r="M48">
            <v>0.29738416812937396</v>
          </cell>
          <cell r="N48">
            <v>4.0694656671155391E-2</v>
          </cell>
          <cell r="O48">
            <v>0.7815346184863956</v>
          </cell>
        </row>
        <row r="49">
          <cell r="M49">
            <v>0.29812035718680657</v>
          </cell>
          <cell r="N49">
            <v>4.1876256236380111E-2</v>
          </cell>
          <cell r="O49">
            <v>0.78640684009506967</v>
          </cell>
        </row>
        <row r="50">
          <cell r="M50">
            <v>0.28567546892624957</v>
          </cell>
          <cell r="N50">
            <v>4.4429822271293051E-2</v>
          </cell>
          <cell r="O50">
            <v>0.78876459435416213</v>
          </cell>
        </row>
        <row r="51">
          <cell r="M51">
            <v>0.29406027889188308</v>
          </cell>
          <cell r="N51">
            <v>3.9124354284119742E-2</v>
          </cell>
          <cell r="O51">
            <v>0.79021771696266618</v>
          </cell>
        </row>
        <row r="52">
          <cell r="M52">
            <v>0.85734295979606734</v>
          </cell>
          <cell r="N52">
            <v>3.8542970970580209E-2</v>
          </cell>
          <cell r="O52">
            <v>0.79475613585000182</v>
          </cell>
        </row>
        <row r="53">
          <cell r="M53">
            <v>0.7752051755215813</v>
          </cell>
          <cell r="N53">
            <v>4.2525829476560299E-2</v>
          </cell>
          <cell r="O53">
            <v>0.80808393045696303</v>
          </cell>
        </row>
        <row r="54">
          <cell r="M54">
            <v>0.30337710542097474</v>
          </cell>
          <cell r="N54">
            <v>3.7220156336704863E-2</v>
          </cell>
          <cell r="O54">
            <v>0.80894035726659119</v>
          </cell>
        </row>
        <row r="55">
          <cell r="M55">
            <v>0.29764259004291094</v>
          </cell>
          <cell r="N55">
            <v>4.3117606193976241E-2</v>
          </cell>
          <cell r="O55">
            <v>0.80893379276880528</v>
          </cell>
        </row>
        <row r="56">
          <cell r="M56">
            <v>0.27105973037073894</v>
          </cell>
          <cell r="N56">
            <v>4.1152592433471274E-2</v>
          </cell>
          <cell r="O56">
            <v>0.67087207928587778</v>
          </cell>
        </row>
        <row r="57">
          <cell r="M57">
            <v>0.27670976753192805</v>
          </cell>
          <cell r="N57">
            <v>4.1299614511084791E-2</v>
          </cell>
          <cell r="O57">
            <v>0.69040561399450273</v>
          </cell>
        </row>
        <row r="58">
          <cell r="M58">
            <v>0.2834706716355323</v>
          </cell>
          <cell r="N58">
            <v>3.6380936455336091E-2</v>
          </cell>
          <cell r="O58">
            <v>0.69417887204876672</v>
          </cell>
        </row>
        <row r="59">
          <cell r="M59">
            <v>0.27920589418079123</v>
          </cell>
          <cell r="N59">
            <v>4.2408474781116604E-2</v>
          </cell>
          <cell r="O59">
            <v>0.7121788237073432</v>
          </cell>
        </row>
        <row r="60">
          <cell r="M60">
            <v>0.27882946033886818</v>
          </cell>
          <cell r="N60">
            <v>4.347717130020641E-2</v>
          </cell>
          <cell r="O60">
            <v>0.72226235546275885</v>
          </cell>
        </row>
        <row r="61">
          <cell r="M61">
            <v>0.28582544566005236</v>
          </cell>
          <cell r="N61">
            <v>3.9481595190244474E-2</v>
          </cell>
          <cell r="O61">
            <v>0.72201996852239658</v>
          </cell>
        </row>
        <row r="62">
          <cell r="M62">
            <v>0.27938427968617857</v>
          </cell>
          <cell r="N62">
            <v>4.461778980146848E-2</v>
          </cell>
          <cell r="O62">
            <v>0.72219251645895344</v>
          </cell>
        </row>
        <row r="63">
          <cell r="M63">
            <v>0.28532981700678728</v>
          </cell>
          <cell r="N63">
            <v>4.176960141596351E-2</v>
          </cell>
          <cell r="O63">
            <v>0.72223522433389886</v>
          </cell>
        </row>
        <row r="64">
          <cell r="M64">
            <v>0.28157082805178668</v>
          </cell>
          <cell r="N64">
            <v>4.111355228355025E-2</v>
          </cell>
          <cell r="O64">
            <v>0.72310700938615802</v>
          </cell>
        </row>
        <row r="65">
          <cell r="M65">
            <v>0.28270271849628065</v>
          </cell>
          <cell r="N65">
            <v>4.1080566418323521E-2</v>
          </cell>
          <cell r="O65">
            <v>0.72480477929498199</v>
          </cell>
        </row>
        <row r="66">
          <cell r="M66">
            <v>0.25605903210510078</v>
          </cell>
          <cell r="N66">
            <v>4.0883782834771148E-2</v>
          </cell>
          <cell r="O66">
            <v>0.54789077363360683</v>
          </cell>
        </row>
        <row r="67">
          <cell r="M67">
            <v>0.57192249637628212</v>
          </cell>
          <cell r="N67">
            <v>4.3757688575184625E-2</v>
          </cell>
          <cell r="O67">
            <v>0.56988839981742989</v>
          </cell>
        </row>
        <row r="68">
          <cell r="M68">
            <v>0.53524661395463013</v>
          </cell>
          <cell r="N68">
            <v>4.527997723299515E-2</v>
          </cell>
          <cell r="O68">
            <v>0.57054092591692729</v>
          </cell>
        </row>
        <row r="69">
          <cell r="M69">
            <v>0.2511264583234063</v>
          </cell>
          <cell r="N69">
            <v>4.4673705832784891E-2</v>
          </cell>
          <cell r="O69">
            <v>0.57024637837697001</v>
          </cell>
        </row>
        <row r="70">
          <cell r="M70">
            <v>0.2548285451667367</v>
          </cell>
          <cell r="N70">
            <v>4.5179857820738037E-2</v>
          </cell>
          <cell r="O70">
            <v>0.57132491086436321</v>
          </cell>
        </row>
        <row r="71">
          <cell r="M71">
            <v>0.25126112581599069</v>
          </cell>
          <cell r="N71">
            <v>4.373509137732233E-2</v>
          </cell>
          <cell r="O71">
            <v>0.57220907777520702</v>
          </cell>
        </row>
        <row r="72">
          <cell r="M72">
            <v>0.25220748805034621</v>
          </cell>
          <cell r="N72">
            <v>4.4721948002891268E-2</v>
          </cell>
          <cell r="O72">
            <v>0.57006017043271406</v>
          </cell>
        </row>
        <row r="73">
          <cell r="M73">
            <v>0.25410870331918167</v>
          </cell>
          <cell r="N73">
            <v>4.4696969395639607E-2</v>
          </cell>
          <cell r="O73">
            <v>0.57205885797026268</v>
          </cell>
        </row>
        <row r="74">
          <cell r="M74">
            <v>0.2567310223588477</v>
          </cell>
          <cell r="N74">
            <v>4.5140433390736145E-2</v>
          </cell>
          <cell r="O74">
            <v>0.56979893838883111</v>
          </cell>
        </row>
        <row r="75">
          <cell r="M75">
            <v>0.25127924890114239</v>
          </cell>
          <cell r="N75">
            <v>5.0677897148034529E-2</v>
          </cell>
          <cell r="O75">
            <v>0.56873946343900728</v>
          </cell>
        </row>
        <row r="76">
          <cell r="M76">
            <v>0.21116684505038946</v>
          </cell>
          <cell r="N76">
            <v>4.4338460153761139E-2</v>
          </cell>
          <cell r="O76">
            <v>0.41163657422980593</v>
          </cell>
        </row>
        <row r="77">
          <cell r="M77">
            <v>0.21854133671153206</v>
          </cell>
          <cell r="N77">
            <v>4.1236678422344061E-2</v>
          </cell>
          <cell r="O77">
            <v>0.41311819109497494</v>
          </cell>
        </row>
        <row r="78">
          <cell r="M78">
            <v>0.21522019147721899</v>
          </cell>
          <cell r="N78">
            <v>4.1614305317385025E-2</v>
          </cell>
          <cell r="O78">
            <v>0.41578187253060434</v>
          </cell>
        </row>
        <row r="79">
          <cell r="M79">
            <v>0.44684958869480007</v>
          </cell>
          <cell r="N79">
            <v>3.9267711164481897E-2</v>
          </cell>
          <cell r="O79">
            <v>0.41822960546526555</v>
          </cell>
        </row>
        <row r="80">
          <cell r="M80">
            <v>0.45349054880876338</v>
          </cell>
          <cell r="N80">
            <v>3.7730662831384168E-2</v>
          </cell>
          <cell r="O80">
            <v>0.42063889547411587</v>
          </cell>
        </row>
        <row r="81">
          <cell r="M81">
            <v>0.23023672186134206</v>
          </cell>
          <cell r="N81">
            <v>4.2173027813409189E-2</v>
          </cell>
          <cell r="O81">
            <v>0.42478922473577668</v>
          </cell>
        </row>
        <row r="82">
          <cell r="M82">
            <v>0.46553869239850254</v>
          </cell>
          <cell r="N82">
            <v>4.0006627281852225E-2</v>
          </cell>
          <cell r="O82">
            <v>0.43435901669534382</v>
          </cell>
        </row>
        <row r="83">
          <cell r="M83">
            <v>0.46367231211360416</v>
          </cell>
          <cell r="N83">
            <v>4.1342726924782087E-2</v>
          </cell>
          <cell r="O83">
            <v>0.43421727794234677</v>
          </cell>
        </row>
        <row r="84">
          <cell r="M84">
            <v>0.2230167154184928</v>
          </cell>
          <cell r="N84">
            <v>5.0014453093535735E-2</v>
          </cell>
          <cell r="O84">
            <v>0.43589879789085084</v>
          </cell>
        </row>
        <row r="85">
          <cell r="M85">
            <v>0.2368953521126711</v>
          </cell>
          <cell r="N85">
            <v>4.231615131234269E-2</v>
          </cell>
          <cell r="O85">
            <v>0.44083462981762611</v>
          </cell>
        </row>
        <row r="86">
          <cell r="M86">
            <v>0.21578258046518634</v>
          </cell>
          <cell r="N86">
            <v>4.1165579710753672E-2</v>
          </cell>
          <cell r="O86">
            <v>0.46206674070544407</v>
          </cell>
        </row>
        <row r="87">
          <cell r="M87">
            <v>0.21370285570779818</v>
          </cell>
          <cell r="N87">
            <v>4.5126307252753586E-2</v>
          </cell>
          <cell r="O87">
            <v>0.4756274531461287</v>
          </cell>
        </row>
        <row r="88">
          <cell r="M88">
            <v>0.2088968664801317</v>
          </cell>
          <cell r="N88">
            <v>4.598005454796518E-2</v>
          </cell>
          <cell r="O88">
            <v>0.48289398055815486</v>
          </cell>
        </row>
        <row r="89">
          <cell r="M89">
            <v>0.2086612984661578</v>
          </cell>
          <cell r="N89">
            <v>4.2532137856479926E-2</v>
          </cell>
          <cell r="O89">
            <v>0.47982788445640723</v>
          </cell>
        </row>
        <row r="90">
          <cell r="M90">
            <v>0.2025867542567133</v>
          </cell>
          <cell r="N90">
            <v>4.5574782972961109E-2</v>
          </cell>
          <cell r="O90">
            <v>0.48296876190313959</v>
          </cell>
        </row>
        <row r="91">
          <cell r="M91">
            <v>0.20992235453422986</v>
          </cell>
          <cell r="N91">
            <v>4.2374708692109603E-2</v>
          </cell>
          <cell r="O91">
            <v>0.4897375967093216</v>
          </cell>
        </row>
        <row r="92">
          <cell r="M92">
            <v>0.20866935863789357</v>
          </cell>
          <cell r="N92">
            <v>4.3649959355608101E-2</v>
          </cell>
          <cell r="O92">
            <v>0.49100961361926165</v>
          </cell>
        </row>
        <row r="93">
          <cell r="M93">
            <v>0.20618300243637022</v>
          </cell>
          <cell r="N93">
            <v>4.8068388096266151E-2</v>
          </cell>
          <cell r="O93">
            <v>0.48642346171443135</v>
          </cell>
        </row>
        <row r="94">
          <cell r="M94">
            <v>0.20678629785089803</v>
          </cell>
          <cell r="N94">
            <v>4.8167505484008361E-2</v>
          </cell>
          <cell r="O94">
            <v>0.49632379794091963</v>
          </cell>
        </row>
        <row r="95">
          <cell r="M95">
            <v>0.21226965589335317</v>
          </cell>
          <cell r="N95">
            <v>4.4404637202109465E-2</v>
          </cell>
          <cell r="O95">
            <v>0.49510583644614847</v>
          </cell>
        </row>
        <row r="96">
          <cell r="M96">
            <v>59.603354998726033</v>
          </cell>
          <cell r="N96">
            <v>3.3317815021156411E-2</v>
          </cell>
          <cell r="O96">
            <v>0.51056311221278095</v>
          </cell>
        </row>
        <row r="97">
          <cell r="M97">
            <v>0.21179190925858443</v>
          </cell>
          <cell r="N97">
            <v>3.6760740841642339E-2</v>
          </cell>
          <cell r="O97">
            <v>0.5047806110664802</v>
          </cell>
        </row>
        <row r="98">
          <cell r="M98">
            <v>0.2057928226045464</v>
          </cell>
          <cell r="N98">
            <v>3.9156590493029636E-2</v>
          </cell>
          <cell r="O98">
            <v>0.49932932413086784</v>
          </cell>
        </row>
        <row r="99">
          <cell r="M99">
            <v>0.204435768203095</v>
          </cell>
          <cell r="N99">
            <v>3.6418645356909522E-2</v>
          </cell>
          <cell r="O99">
            <v>0.48880135376738576</v>
          </cell>
        </row>
        <row r="100">
          <cell r="M100">
            <v>0.20610810613899677</v>
          </cell>
          <cell r="N100">
            <v>3.8518631360450868E-2</v>
          </cell>
          <cell r="O100">
            <v>0.49116065724972302</v>
          </cell>
        </row>
        <row r="101">
          <cell r="M101">
            <v>0.20374946145964856</v>
          </cell>
          <cell r="N101">
            <v>3.5685440082214019E-2</v>
          </cell>
          <cell r="O101">
            <v>0.49841483223755911</v>
          </cell>
        </row>
        <row r="102">
          <cell r="M102">
            <v>0.20271540683559003</v>
          </cell>
          <cell r="N102">
            <v>3.5427624538351313E-2</v>
          </cell>
          <cell r="O102">
            <v>0.49339171228006684</v>
          </cell>
        </row>
        <row r="103">
          <cell r="M103">
            <v>0.20228429947728008</v>
          </cell>
          <cell r="N103">
            <v>3.3625325680461851E-2</v>
          </cell>
          <cell r="O103">
            <v>0.49873642475538582</v>
          </cell>
        </row>
        <row r="104">
          <cell r="M104">
            <v>0.19832220601046893</v>
          </cell>
          <cell r="N104">
            <v>4.0970578920929285E-2</v>
          </cell>
          <cell r="O104">
            <v>0.49555235280612209</v>
          </cell>
        </row>
        <row r="105">
          <cell r="M105">
            <v>0.20157306317124901</v>
          </cell>
          <cell r="N105">
            <v>3.6743918714629537E-2</v>
          </cell>
          <cell r="O105">
            <v>0.48762016218526627</v>
          </cell>
        </row>
        <row r="106">
          <cell r="M106">
            <v>0.18583810562631001</v>
          </cell>
          <cell r="N106">
            <v>3.6681481227268359E-2</v>
          </cell>
          <cell r="O106">
            <v>0.59226509676422456</v>
          </cell>
        </row>
        <row r="107">
          <cell r="M107">
            <v>0.18275458142877332</v>
          </cell>
          <cell r="N107">
            <v>3.9172031017986955E-2</v>
          </cell>
          <cell r="O107">
            <v>0.58957453176516494</v>
          </cell>
        </row>
        <row r="108">
          <cell r="M108">
            <v>0.17976826670036708</v>
          </cell>
          <cell r="N108">
            <v>3.6162544582933935E-2</v>
          </cell>
          <cell r="O108">
            <v>0.56692446713093958</v>
          </cell>
        </row>
        <row r="109">
          <cell r="M109">
            <v>0.1808787051665845</v>
          </cell>
          <cell r="N109">
            <v>3.5541507527717446E-2</v>
          </cell>
          <cell r="O109">
            <v>0.57541400320334768</v>
          </cell>
        </row>
        <row r="110">
          <cell r="M110">
            <v>0.17506551519069499</v>
          </cell>
          <cell r="N110">
            <v>3.9164091432327373E-2</v>
          </cell>
          <cell r="O110">
            <v>0.56358795558010977</v>
          </cell>
        </row>
        <row r="111">
          <cell r="M111">
            <v>0.17814382348652294</v>
          </cell>
          <cell r="N111">
            <v>3.5151271907689401E-2</v>
          </cell>
          <cell r="O111">
            <v>0.55625476904972948</v>
          </cell>
        </row>
        <row r="112">
          <cell r="M112">
            <v>0.17772189248603537</v>
          </cell>
          <cell r="N112">
            <v>3.4551842738104299E-2</v>
          </cell>
          <cell r="O112">
            <v>0.54863869977808599</v>
          </cell>
        </row>
        <row r="113">
          <cell r="M113">
            <v>0.17768500981536534</v>
          </cell>
          <cell r="N113">
            <v>3.6821169426147833E-2</v>
          </cell>
          <cell r="O113">
            <v>0.56398703401033001</v>
          </cell>
        </row>
        <row r="114">
          <cell r="M114">
            <v>0.18399986530215079</v>
          </cell>
          <cell r="N114">
            <v>3.335450813009104E-2</v>
          </cell>
          <cell r="O114">
            <v>0.59345151676031038</v>
          </cell>
        </row>
        <row r="115">
          <cell r="M115">
            <v>0.18285631472204267</v>
          </cell>
          <cell r="N115">
            <v>3.5119165901569986E-2</v>
          </cell>
          <cell r="O115">
            <v>0.58263057263704854</v>
          </cell>
        </row>
        <row r="116">
          <cell r="M116">
            <v>0.1976797101406032</v>
          </cell>
          <cell r="N116">
            <v>4.9234447652914265E-2</v>
          </cell>
          <cell r="O116">
            <v>0.50860733032569205</v>
          </cell>
        </row>
        <row r="117">
          <cell r="M117">
            <v>0.10927699182806219</v>
          </cell>
          <cell r="N117">
            <v>6.1349240569125135E-2</v>
          </cell>
          <cell r="O117">
            <v>0.59201058483551405</v>
          </cell>
        </row>
        <row r="118">
          <cell r="M118">
            <v>0.24088582445246734</v>
          </cell>
          <cell r="N118">
            <v>1.2427822672235846</v>
          </cell>
          <cell r="O118">
            <v>0.13741546854638687</v>
          </cell>
        </row>
      </sheetData>
      <sheetData sheetId="1">
        <row r="2">
          <cell r="K2">
            <v>2.0348700000000002</v>
          </cell>
          <cell r="L2">
            <v>2.4919600000000002</v>
          </cell>
          <cell r="M2">
            <v>2.7339699999999998</v>
          </cell>
          <cell r="N2">
            <v>-0.44363200000000003</v>
          </cell>
          <cell r="O2">
            <v>-6.6786300000000001</v>
          </cell>
          <cell r="P2">
            <v>-5.4328700000000003</v>
          </cell>
          <cell r="Q2">
            <v>-6.7093600000000002</v>
          </cell>
          <cell r="R2">
            <v>-6.9434899999999997</v>
          </cell>
          <cell r="S2">
            <v>0.94130999999999998</v>
          </cell>
          <cell r="T2">
            <v>0.81238900000000003</v>
          </cell>
          <cell r="U2">
            <v>0.44874700000000001</v>
          </cell>
          <cell r="V2">
            <v>1.0368999999999999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2.4202666666666666</v>
          </cell>
          <cell r="AH2">
            <v>-6.4410875000000001</v>
          </cell>
          <cell r="AI2">
            <v>0.80983650000000007</v>
          </cell>
        </row>
        <row r="3">
          <cell r="K3">
            <v>1.65951</v>
          </cell>
          <cell r="L3">
            <v>2.0823100000000001</v>
          </cell>
          <cell r="M3">
            <v>1.94923</v>
          </cell>
          <cell r="N3">
            <v>2.0037199999999999</v>
          </cell>
          <cell r="O3">
            <v>0.120418</v>
          </cell>
          <cell r="P3">
            <v>-0.29194799999999999</v>
          </cell>
          <cell r="Q3">
            <v>-0.33477499999999999</v>
          </cell>
          <cell r="R3">
            <v>-0.30885400000000002</v>
          </cell>
          <cell r="S3">
            <v>-0.35196899999999998</v>
          </cell>
          <cell r="T3">
            <v>-0.213474</v>
          </cell>
          <cell r="U3">
            <v>-1.0176700000000001</v>
          </cell>
          <cell r="V3">
            <v>-1.60442</v>
          </cell>
          <cell r="Y3">
            <v>52.138185646551726</v>
          </cell>
          <cell r="Z3">
            <v>30.450175508620688</v>
          </cell>
          <cell r="AA3">
            <v>1.721572916860383E-3</v>
          </cell>
          <cell r="AB3">
            <v>1.6665759117719101E-2</v>
          </cell>
          <cell r="AC3">
            <v>1.8143398832922607E-4</v>
          </cell>
          <cell r="AD3">
            <v>1.7563793642713075E-3</v>
          </cell>
          <cell r="AE3">
            <v>4.8895941557363461E-4</v>
          </cell>
          <cell r="AF3">
            <v>0.27839054905800248</v>
          </cell>
          <cell r="AG3">
            <v>1.9236925</v>
          </cell>
          <cell r="AH3">
            <v>-0.20378974999999999</v>
          </cell>
          <cell r="AI3">
            <v>-0.79688325000000004</v>
          </cell>
        </row>
        <row r="4">
          <cell r="K4">
            <v>1.65446</v>
          </cell>
          <cell r="L4">
            <v>1.8059700000000001</v>
          </cell>
          <cell r="M4">
            <v>2.1599499999999998</v>
          </cell>
          <cell r="N4">
            <v>-1.21193</v>
          </cell>
          <cell r="O4">
            <v>-0.22395799999999999</v>
          </cell>
          <cell r="P4">
            <v>-0.39452599999999999</v>
          </cell>
          <cell r="Q4">
            <v>-0.44347700000000001</v>
          </cell>
          <cell r="R4">
            <v>-0.32293899999999998</v>
          </cell>
          <cell r="S4">
            <v>-0.33915099999999998</v>
          </cell>
          <cell r="T4">
            <v>-0.122755</v>
          </cell>
          <cell r="U4">
            <v>-0.89911700000000006</v>
          </cell>
          <cell r="V4">
            <v>-1.5241199999999999</v>
          </cell>
          <cell r="Y4">
            <v>188.07627629310343</v>
          </cell>
          <cell r="Z4">
            <v>107.73894601724137</v>
          </cell>
          <cell r="AA4">
            <v>1.4096263708962297E-3</v>
          </cell>
          <cell r="AB4">
            <v>1.3645947443332329E-2</v>
          </cell>
          <cell r="AC4">
            <v>1.4571426174749569E-4</v>
          </cell>
          <cell r="AD4">
            <v>1.4105930469263861E-3</v>
          </cell>
          <cell r="AE4">
            <v>3.622769513193477E-4</v>
          </cell>
          <cell r="AF4">
            <v>0.25682598684909985</v>
          </cell>
          <cell r="AG4">
            <v>1.8734599999999999</v>
          </cell>
          <cell r="AH4">
            <v>-0.346225</v>
          </cell>
          <cell r="AI4">
            <v>-0.72128575000000006</v>
          </cell>
        </row>
        <row r="5">
          <cell r="K5">
            <v>3.5681500000000002</v>
          </cell>
          <cell r="L5">
            <v>3.8375900000000001</v>
          </cell>
          <cell r="M5">
            <v>4.1150099999999998</v>
          </cell>
          <cell r="N5">
            <v>-1.2157899999999999</v>
          </cell>
          <cell r="O5">
            <v>-1.22214E-2</v>
          </cell>
          <cell r="P5">
            <v>-0.153282</v>
          </cell>
          <cell r="Q5">
            <v>-0.20327300000000001</v>
          </cell>
          <cell r="R5">
            <v>-0.117544</v>
          </cell>
          <cell r="S5">
            <v>-0.34998299999999999</v>
          </cell>
          <cell r="T5">
            <v>-0.123649</v>
          </cell>
          <cell r="U5">
            <v>-0.89220699999999997</v>
          </cell>
          <cell r="V5">
            <v>-1.5151300000000001</v>
          </cell>
          <cell r="Y5">
            <v>348.3784669396552</v>
          </cell>
          <cell r="Z5">
            <v>151.87001652586207</v>
          </cell>
          <cell r="AA5">
            <v>2.6729398006030895E-3</v>
          </cell>
          <cell r="AB5">
            <v>2.5875506298190604E-2</v>
          </cell>
          <cell r="AC5">
            <v>2.1026609723594607E-4</v>
          </cell>
          <cell r="AD5">
            <v>2.0354898086732435E-3</v>
          </cell>
          <cell r="AE5">
            <v>9.4595057888495991E-4</v>
          </cell>
          <cell r="AF5">
            <v>0.46472872271541449</v>
          </cell>
          <cell r="AG5">
            <v>3.8402499999999997</v>
          </cell>
          <cell r="AH5">
            <v>-0.1215801</v>
          </cell>
          <cell r="AI5">
            <v>-0.72024225000000008</v>
          </cell>
        </row>
        <row r="6">
          <cell r="K6">
            <v>3.5817299999999999</v>
          </cell>
          <cell r="L6">
            <v>3.84104</v>
          </cell>
          <cell r="M6">
            <v>4.1176599999999999</v>
          </cell>
          <cell r="N6">
            <v>-1.21417</v>
          </cell>
          <cell r="O6">
            <v>-1.08304E-2</v>
          </cell>
          <cell r="P6">
            <v>-0.155777</v>
          </cell>
          <cell r="Q6">
            <v>-0.204462</v>
          </cell>
          <cell r="R6">
            <v>-0.112926</v>
          </cell>
          <cell r="S6">
            <v>-0.35168100000000002</v>
          </cell>
          <cell r="T6">
            <v>-0.124208</v>
          </cell>
          <cell r="U6">
            <v>-0.89241199999999998</v>
          </cell>
          <cell r="V6">
            <v>-1.51423</v>
          </cell>
          <cell r="Y6">
            <v>342.15665758620685</v>
          </cell>
          <cell r="Z6">
            <v>149.57008703448275</v>
          </cell>
          <cell r="AA6">
            <v>2.6239428188541865E-3</v>
          </cell>
          <cell r="AB6">
            <v>2.5401188953089897E-2</v>
          </cell>
          <cell r="AC6">
            <v>2.0698241875792602E-4</v>
          </cell>
          <cell r="AD6">
            <v>2.0037020208898935E-3</v>
          </cell>
          <cell r="AE6">
            <v>9.2006017079407528E-4</v>
          </cell>
          <cell r="AF6">
            <v>0.45918013816518177</v>
          </cell>
          <cell r="AG6">
            <v>3.8468100000000001</v>
          </cell>
          <cell r="AH6">
            <v>-0.12099884999999999</v>
          </cell>
          <cell r="AI6">
            <v>-0.72063275000000004</v>
          </cell>
        </row>
        <row r="7">
          <cell r="K7">
            <v>3.58718</v>
          </cell>
          <cell r="L7">
            <v>3.84396</v>
          </cell>
          <cell r="M7">
            <v>4.1191700000000004</v>
          </cell>
          <cell r="N7">
            <v>-1.2128699999999999</v>
          </cell>
          <cell r="O7">
            <v>4.8496800000000001E-4</v>
          </cell>
          <cell r="P7">
            <v>-0.15326899999999999</v>
          </cell>
          <cell r="Q7">
            <v>-0.20153199999999999</v>
          </cell>
          <cell r="R7">
            <v>-0.10416400000000001</v>
          </cell>
          <cell r="S7">
            <v>-0.35249000000000003</v>
          </cell>
          <cell r="T7">
            <v>-0.12425700000000001</v>
          </cell>
          <cell r="U7">
            <v>-0.89174299999999995</v>
          </cell>
          <cell r="V7">
            <v>-1.51329</v>
          </cell>
          <cell r="Y7">
            <v>342.1178482327586</v>
          </cell>
          <cell r="Z7">
            <v>150.25915754310344</v>
          </cell>
          <cell r="AA7">
            <v>2.6233372355854122E-3</v>
          </cell>
          <cell r="AB7">
            <v>2.5395326578755199E-2</v>
          </cell>
          <cell r="AC7">
            <v>2.0791158099686655E-4</v>
          </cell>
          <cell r="AD7">
            <v>2.0126968150713121E-3</v>
          </cell>
          <cell r="AE7">
            <v>9.1974167629824577E-4</v>
          </cell>
          <cell r="AF7">
            <v>0.45696980757912031</v>
          </cell>
          <cell r="AG7">
            <v>3.8501033333333332</v>
          </cell>
          <cell r="AH7">
            <v>-0.114620008</v>
          </cell>
          <cell r="AI7">
            <v>-0.720445</v>
          </cell>
        </row>
        <row r="8">
          <cell r="K8">
            <v>3.5817600000000001</v>
          </cell>
          <cell r="L8">
            <v>3.8382800000000001</v>
          </cell>
          <cell r="M8">
            <v>4.1137199999999998</v>
          </cell>
          <cell r="N8">
            <v>-1.2114199999999999</v>
          </cell>
          <cell r="O8">
            <v>1.36023E-3</v>
          </cell>
          <cell r="P8">
            <v>-0.15184600000000001</v>
          </cell>
          <cell r="Q8">
            <v>-0.20038</v>
          </cell>
          <cell r="R8">
            <v>-0.102283</v>
          </cell>
          <cell r="S8">
            <v>-0.353883</v>
          </cell>
          <cell r="T8">
            <v>-0.12431300000000001</v>
          </cell>
          <cell r="U8">
            <v>-0.89132699999999998</v>
          </cell>
          <cell r="V8">
            <v>-1.5121899999999999</v>
          </cell>
          <cell r="Y8">
            <v>350.60803887931036</v>
          </cell>
          <cell r="Z8">
            <v>152.98522805172414</v>
          </cell>
          <cell r="AA8">
            <v>2.6876865627358027E-3</v>
          </cell>
          <cell r="AB8">
            <v>2.6018262950007771E-2</v>
          </cell>
          <cell r="AC8">
            <v>2.1162432614345189E-4</v>
          </cell>
          <cell r="AD8">
            <v>2.0486382008078597E-3</v>
          </cell>
          <cell r="AE8">
            <v>9.5378966163539374E-4</v>
          </cell>
          <cell r="AF8">
            <v>0.46557252581704101</v>
          </cell>
          <cell r="AG8">
            <v>3.8445866666666668</v>
          </cell>
          <cell r="AH8">
            <v>-0.11328719250000001</v>
          </cell>
          <cell r="AI8">
            <v>-0.72042824999999999</v>
          </cell>
        </row>
        <row r="9">
          <cell r="K9">
            <v>3.5874999999999999</v>
          </cell>
          <cell r="L9">
            <v>3.84552</v>
          </cell>
          <cell r="M9">
            <v>4.1177999999999999</v>
          </cell>
          <cell r="N9">
            <v>-1.21143</v>
          </cell>
          <cell r="O9">
            <v>1.9456499999999999E-3</v>
          </cell>
          <cell r="P9">
            <v>-0.15202199999999999</v>
          </cell>
          <cell r="Q9">
            <v>-0.200185</v>
          </cell>
          <cell r="R9">
            <v>-0.101243</v>
          </cell>
          <cell r="S9">
            <v>-0.35481000000000001</v>
          </cell>
          <cell r="T9">
            <v>-0.124184</v>
          </cell>
          <cell r="U9">
            <v>-0.89107999999999998</v>
          </cell>
          <cell r="V9">
            <v>-1.51173</v>
          </cell>
          <cell r="Y9">
            <v>347.09722952586208</v>
          </cell>
          <cell r="Z9">
            <v>151.90429856034481</v>
          </cell>
          <cell r="AA9">
            <v>2.6603811209748095E-3</v>
          </cell>
          <cell r="AB9">
            <v>2.5753931471198543E-2</v>
          </cell>
          <cell r="AC9">
            <v>2.1009809431892529E-4</v>
          </cell>
          <cell r="AD9">
            <v>2.0338634493603609E-3</v>
          </cell>
          <cell r="AE9">
            <v>9.3929166065493102E-4</v>
          </cell>
          <cell r="AF9">
            <v>0.46182631432328125</v>
          </cell>
          <cell r="AG9">
            <v>3.8502733333333334</v>
          </cell>
          <cell r="AH9">
            <v>-0.1128760875</v>
          </cell>
          <cell r="AI9">
            <v>-0.72045099999999995</v>
          </cell>
        </row>
        <row r="10">
          <cell r="K10">
            <v>3.5955499999999998</v>
          </cell>
          <cell r="L10">
            <v>3.8483800000000001</v>
          </cell>
          <cell r="M10">
            <v>4.1250600000000004</v>
          </cell>
          <cell r="N10">
            <v>-1.20686</v>
          </cell>
          <cell r="O10">
            <v>5.6260399999999997E-3</v>
          </cell>
          <cell r="P10">
            <v>-0.15024699999999999</v>
          </cell>
          <cell r="Q10">
            <v>-0.194109</v>
          </cell>
          <cell r="R10">
            <v>-9.4336900000000001E-2</v>
          </cell>
          <cell r="S10">
            <v>-0.35612899999999997</v>
          </cell>
          <cell r="T10">
            <v>-0.124347</v>
          </cell>
          <cell r="U10">
            <v>-0.89049900000000004</v>
          </cell>
          <cell r="V10">
            <v>-1.51213</v>
          </cell>
          <cell r="Y10">
            <v>342.93042017241379</v>
          </cell>
          <cell r="Z10">
            <v>150.03936906896553</v>
          </cell>
          <cell r="AA10">
            <v>2.6280864707187682E-3</v>
          </cell>
          <cell r="AB10">
            <v>2.5441301749455646E-2</v>
          </cell>
          <cell r="AC10">
            <v>2.0749049543302336E-4</v>
          </cell>
          <cell r="AD10">
            <v>2.0086204785384641E-3</v>
          </cell>
          <cell r="AE10">
            <v>9.2224042815112811E-4</v>
          </cell>
          <cell r="AF10">
            <v>0.45914120562097399</v>
          </cell>
          <cell r="AG10">
            <v>3.8563299999999998</v>
          </cell>
          <cell r="AH10">
            <v>-0.108266715</v>
          </cell>
          <cell r="AI10">
            <v>-0.72077625000000001</v>
          </cell>
        </row>
        <row r="11">
          <cell r="K11">
            <v>3.5979299999999999</v>
          </cell>
          <cell r="L11">
            <v>3.8610500000000001</v>
          </cell>
          <cell r="M11">
            <v>4.1488699999999996</v>
          </cell>
          <cell r="N11">
            <v>-1.2061599999999999</v>
          </cell>
          <cell r="O11">
            <v>1.1746899999999999E-2</v>
          </cell>
          <cell r="P11">
            <v>-0.14541000000000001</v>
          </cell>
          <cell r="Q11">
            <v>-0.18349299999999999</v>
          </cell>
          <cell r="R11">
            <v>-8.09526E-2</v>
          </cell>
          <cell r="S11">
            <v>-0.35806500000000002</v>
          </cell>
          <cell r="T11">
            <v>-0.12409199999999999</v>
          </cell>
          <cell r="U11">
            <v>-0.88863499999999995</v>
          </cell>
          <cell r="V11">
            <v>-1.51118</v>
          </cell>
          <cell r="Y11">
            <v>346.40661081896553</v>
          </cell>
          <cell r="Z11">
            <v>151.7664395775862</v>
          </cell>
          <cell r="AA11">
            <v>2.6548690237231539E-3</v>
          </cell>
          <cell r="AB11">
            <v>2.5700571381637501E-2</v>
          </cell>
          <cell r="AC11">
            <v>2.0989012881040457E-4</v>
          </cell>
          <cell r="AD11">
            <v>2.031850230497624E-3</v>
          </cell>
          <cell r="AE11">
            <v>9.3637396729002976E-4</v>
          </cell>
          <cell r="AF11">
            <v>0.46084792729073382</v>
          </cell>
          <cell r="AG11">
            <v>3.8692833333333332</v>
          </cell>
          <cell r="AH11">
            <v>-9.9527174999999996E-2</v>
          </cell>
          <cell r="AI11">
            <v>-0.72049300000000005</v>
          </cell>
        </row>
        <row r="12">
          <cell r="K12">
            <v>3.60236</v>
          </cell>
          <cell r="L12">
            <v>3.8615400000000002</v>
          </cell>
          <cell r="M12">
            <v>4.1488399999999999</v>
          </cell>
          <cell r="N12">
            <v>-1.20627</v>
          </cell>
          <cell r="O12">
            <v>1.25294E-2</v>
          </cell>
          <cell r="P12">
            <v>-0.145758</v>
          </cell>
          <cell r="Q12">
            <v>-0.183504</v>
          </cell>
          <cell r="R12">
            <v>-7.8831600000000002E-2</v>
          </cell>
          <cell r="S12">
            <v>-0.35901100000000002</v>
          </cell>
          <cell r="T12">
            <v>-0.123596</v>
          </cell>
          <cell r="U12">
            <v>-0.88861999999999997</v>
          </cell>
          <cell r="V12">
            <v>-1.51027</v>
          </cell>
          <cell r="Y12">
            <v>346.60180146551721</v>
          </cell>
          <cell r="Z12">
            <v>151.31351008620689</v>
          </cell>
          <cell r="AA12">
            <v>2.6548158049397958E-3</v>
          </cell>
          <cell r="AB12">
            <v>2.5700056194964141E-2</v>
          </cell>
          <cell r="AC12">
            <v>2.0914169538392631E-4</v>
          </cell>
          <cell r="AD12">
            <v>2.0246049891958018E-3</v>
          </cell>
          <cell r="AE12">
            <v>9.3634581198380072E-4</v>
          </cell>
          <cell r="AF12">
            <v>0.46248320881384813</v>
          </cell>
          <cell r="AG12">
            <v>3.8709133333333337</v>
          </cell>
          <cell r="AH12">
            <v>-9.8891050000000008E-2</v>
          </cell>
          <cell r="AI12">
            <v>-0.72037424999999999</v>
          </cell>
        </row>
        <row r="13">
          <cell r="K13">
            <v>3.6039500000000002</v>
          </cell>
          <cell r="L13">
            <v>3.8637700000000001</v>
          </cell>
          <cell r="M13">
            <v>4.15076</v>
          </cell>
          <cell r="N13">
            <v>-1.2043299999999999</v>
          </cell>
          <cell r="O13">
            <v>1.4375300000000001E-2</v>
          </cell>
          <cell r="P13">
            <v>-0.144811</v>
          </cell>
          <cell r="Q13">
            <v>-0.183334</v>
          </cell>
          <cell r="R13">
            <v>-7.7693899999999996E-2</v>
          </cell>
          <cell r="S13">
            <v>-0.35983599999999999</v>
          </cell>
          <cell r="T13">
            <v>-0.12447800000000001</v>
          </cell>
          <cell r="U13">
            <v>-0.88761299999999999</v>
          </cell>
          <cell r="V13">
            <v>-1.50946</v>
          </cell>
          <cell r="Y13">
            <v>349.50599211206895</v>
          </cell>
          <cell r="Z13">
            <v>152.70158059482759</v>
          </cell>
          <cell r="AA13">
            <v>2.6772678757880615E-3</v>
          </cell>
          <cell r="AB13">
            <v>2.5917404412275521E-2</v>
          </cell>
          <cell r="AC13">
            <v>2.1107659173519018E-4</v>
          </cell>
          <cell r="AD13">
            <v>2.0433358348033899E-3</v>
          </cell>
          <cell r="AE13">
            <v>9.4824906056511582E-4</v>
          </cell>
          <cell r="AF13">
            <v>0.46406911894458919</v>
          </cell>
          <cell r="AG13">
            <v>3.8728266666666666</v>
          </cell>
          <cell r="AH13">
            <v>-9.7865899999999992E-2</v>
          </cell>
          <cell r="AI13">
            <v>-0.72034675000000004</v>
          </cell>
        </row>
        <row r="14">
          <cell r="K14">
            <v>3.60866</v>
          </cell>
          <cell r="L14">
            <v>3.8703500000000002</v>
          </cell>
          <cell r="M14">
            <v>4.1564699999999997</v>
          </cell>
          <cell r="N14">
            <v>-1.20374</v>
          </cell>
          <cell r="O14">
            <v>2.1307599999999999E-2</v>
          </cell>
          <cell r="P14">
            <v>-0.13676199999999999</v>
          </cell>
          <cell r="Q14">
            <v>-0.177284</v>
          </cell>
          <cell r="R14">
            <v>-7.0033700000000004E-2</v>
          </cell>
          <cell r="S14">
            <v>-0.36020400000000002</v>
          </cell>
          <cell r="T14">
            <v>-0.123978</v>
          </cell>
          <cell r="U14">
            <v>-0.887548</v>
          </cell>
          <cell r="V14">
            <v>-1.50865</v>
          </cell>
          <cell r="Y14">
            <v>348.69218275862067</v>
          </cell>
          <cell r="Z14">
            <v>151.94865110344827</v>
          </cell>
          <cell r="AA14">
            <v>2.6715831357938414E-3</v>
          </cell>
          <cell r="AB14">
            <v>2.5862373047375035E-2</v>
          </cell>
          <cell r="AC14">
            <v>2.1007901418026775E-4</v>
          </cell>
          <cell r="AD14">
            <v>2.0336787432746152E-3</v>
          </cell>
          <cell r="AE14">
            <v>9.452304869062585E-4</v>
          </cell>
          <cell r="AF14">
            <v>0.46478849721576726</v>
          </cell>
          <cell r="AG14">
            <v>3.8784933333333336</v>
          </cell>
          <cell r="AH14">
            <v>-9.069302500000001E-2</v>
          </cell>
          <cell r="AI14">
            <v>-0.72009499999999993</v>
          </cell>
        </row>
        <row r="15">
          <cell r="K15">
            <v>4.4367299999999998</v>
          </cell>
          <cell r="L15">
            <v>4.8052099999999998</v>
          </cell>
          <cell r="M15">
            <v>5.06806</v>
          </cell>
          <cell r="N15">
            <v>-1.2030000000000001</v>
          </cell>
          <cell r="O15">
            <v>0.143321</v>
          </cell>
          <cell r="P15">
            <v>-1.6680299999999999E-2</v>
          </cell>
          <cell r="Q15">
            <v>-5.7124099999999997E-2</v>
          </cell>
          <cell r="R15">
            <v>4.98001E-2</v>
          </cell>
          <cell r="S15">
            <v>-0.450297</v>
          </cell>
          <cell r="T15">
            <v>-0.12571099999999999</v>
          </cell>
          <cell r="U15">
            <v>-0.88534900000000005</v>
          </cell>
          <cell r="V15">
            <v>-1.5201199999999999</v>
          </cell>
          <cell r="Y15">
            <v>440.35737340517244</v>
          </cell>
          <cell r="Z15">
            <v>184.56772161206896</v>
          </cell>
          <cell r="AA15">
            <v>3.3798959833404446E-3</v>
          </cell>
          <cell r="AB15">
            <v>3.271922539535764E-2</v>
          </cell>
          <cell r="AC15">
            <v>2.5563078462376116E-4</v>
          </cell>
          <cell r="AD15">
            <v>2.4746445752542221E-3</v>
          </cell>
          <cell r="AE15">
            <v>1.3450538849056114E-3</v>
          </cell>
          <cell r="AF15">
            <v>0.54353416985848679</v>
          </cell>
          <cell r="AG15">
            <v>4.7699999999999996</v>
          </cell>
          <cell r="AH15">
            <v>2.9829174999999999E-2</v>
          </cell>
          <cell r="AI15">
            <v>-0.74536924999999998</v>
          </cell>
        </row>
        <row r="16">
          <cell r="K16">
            <v>4.4544899999999998</v>
          </cell>
          <cell r="L16">
            <v>4.8156999999999996</v>
          </cell>
          <cell r="M16">
            <v>5.1052799999999996</v>
          </cell>
          <cell r="N16">
            <v>-1.20244</v>
          </cell>
          <cell r="O16">
            <v>0.16950899999999999</v>
          </cell>
          <cell r="P16">
            <v>5.21501E-3</v>
          </cell>
          <cell r="Q16">
            <v>-3.5997800000000003E-2</v>
          </cell>
          <cell r="R16">
            <v>6.8105399999999996E-2</v>
          </cell>
          <cell r="S16">
            <v>-0.53707400000000005</v>
          </cell>
          <cell r="T16">
            <v>-0.12755</v>
          </cell>
          <cell r="U16">
            <v>-0.88501200000000002</v>
          </cell>
          <cell r="V16">
            <v>-1.5399</v>
          </cell>
          <cell r="Y16">
            <v>438.47056405172418</v>
          </cell>
          <cell r="Z16">
            <v>184.56279212068966</v>
          </cell>
          <cell r="AA16">
            <v>3.3655210415718417E-3</v>
          </cell>
          <cell r="AB16">
            <v>3.2580068166232733E-2</v>
          </cell>
          <cell r="AC16">
            <v>2.5563208265992773E-4</v>
          </cell>
          <cell r="AD16">
            <v>2.4746571409479932E-3</v>
          </cell>
          <cell r="AE16">
            <v>1.3364820981967944E-3</v>
          </cell>
          <cell r="AF16">
            <v>0.54006758192159665</v>
          </cell>
          <cell r="AG16">
            <v>4.7918233333333333</v>
          </cell>
          <cell r="AH16">
            <v>5.17079025E-2</v>
          </cell>
          <cell r="AI16">
            <v>-0.77238399999999996</v>
          </cell>
        </row>
        <row r="17">
          <cell r="K17">
            <v>4.4584700000000002</v>
          </cell>
          <cell r="L17">
            <v>4.8187800000000003</v>
          </cell>
          <cell r="M17">
            <v>5.10886</v>
          </cell>
          <cell r="N17">
            <v>-1.20204</v>
          </cell>
          <cell r="O17">
            <v>0.16929</v>
          </cell>
          <cell r="P17">
            <v>4.0299999999999997E-3</v>
          </cell>
          <cell r="Q17">
            <v>-3.6473699999999998E-2</v>
          </cell>
          <cell r="R17">
            <v>7.0936399999999997E-2</v>
          </cell>
          <cell r="S17">
            <v>-0.54719799999999996</v>
          </cell>
          <cell r="T17">
            <v>-0.12781200000000001</v>
          </cell>
          <cell r="U17">
            <v>-0.88417999999999997</v>
          </cell>
          <cell r="V17">
            <v>-1.5438400000000001</v>
          </cell>
          <cell r="Y17">
            <v>434.12975469827586</v>
          </cell>
          <cell r="Z17">
            <v>182.83486262931035</v>
          </cell>
          <cell r="AA17">
            <v>3.3315034666958677E-3</v>
          </cell>
          <cell r="AB17">
            <v>3.2250759600153604E-2</v>
          </cell>
          <cell r="AC17">
            <v>2.5318563763701476E-4</v>
          </cell>
          <cell r="AD17">
            <v>2.4509742268830083E-3</v>
          </cell>
          <cell r="AE17">
            <v>1.3162703086054891E-3</v>
          </cell>
          <cell r="AF17">
            <v>0.5370396367975836</v>
          </cell>
          <cell r="AG17">
            <v>4.7953700000000001</v>
          </cell>
          <cell r="AH17">
            <v>5.1945674999999997E-2</v>
          </cell>
          <cell r="AI17">
            <v>-0.7757575000000001</v>
          </cell>
        </row>
        <row r="18">
          <cell r="K18">
            <v>4.4615099999999996</v>
          </cell>
          <cell r="L18">
            <v>4.8188399999999998</v>
          </cell>
          <cell r="M18">
            <v>5.1098699999999999</v>
          </cell>
          <cell r="N18">
            <v>-1.1996</v>
          </cell>
          <cell r="O18">
            <v>0.168044</v>
          </cell>
          <cell r="P18">
            <v>1.7821E-3</v>
          </cell>
          <cell r="Q18">
            <v>-3.8179299999999999E-2</v>
          </cell>
          <cell r="R18">
            <v>6.8054100000000006E-2</v>
          </cell>
          <cell r="S18">
            <v>-0.55287600000000003</v>
          </cell>
          <cell r="T18">
            <v>-0.12767000000000001</v>
          </cell>
          <cell r="U18">
            <v>-0.88390400000000002</v>
          </cell>
          <cell r="V18">
            <v>-1.5462199999999999</v>
          </cell>
          <cell r="Y18">
            <v>432.46694534482754</v>
          </cell>
          <cell r="Z18">
            <v>183.48393313793105</v>
          </cell>
          <cell r="AA18">
            <v>3.3188003194008077E-3</v>
          </cell>
          <cell r="AB18">
            <v>3.2127786247829693E-2</v>
          </cell>
          <cell r="AC18">
            <v>2.540888367818429E-4</v>
          </cell>
          <cell r="AD18">
            <v>2.4597176842385566E-3</v>
          </cell>
          <cell r="AE18">
            <v>1.3087490079085227E-3</v>
          </cell>
          <cell r="AF18">
            <v>0.53207285384609737</v>
          </cell>
          <cell r="AG18">
            <v>4.7967399999999998</v>
          </cell>
          <cell r="AH18">
            <v>4.9925225000000004E-2</v>
          </cell>
          <cell r="AI18">
            <v>-0.77766749999999996</v>
          </cell>
        </row>
        <row r="19">
          <cell r="K19">
            <v>4.4615600000000004</v>
          </cell>
          <cell r="L19">
            <v>4.8201000000000001</v>
          </cell>
          <cell r="M19">
            <v>5.11083</v>
          </cell>
          <cell r="N19">
            <v>-1.1989700000000001</v>
          </cell>
          <cell r="O19">
            <v>0.168544</v>
          </cell>
          <cell r="P19">
            <v>2.4971099999999999E-3</v>
          </cell>
          <cell r="Q19">
            <v>-3.7409900000000003E-2</v>
          </cell>
          <cell r="R19">
            <v>6.8794999999999995E-2</v>
          </cell>
          <cell r="S19">
            <v>-0.555948</v>
          </cell>
          <cell r="T19">
            <v>-0.127471</v>
          </cell>
          <cell r="U19">
            <v>-0.88430900000000001</v>
          </cell>
          <cell r="V19">
            <v>-1.5476300000000001</v>
          </cell>
          <cell r="Y19">
            <v>432.71113599137931</v>
          </cell>
          <cell r="Z19">
            <v>182.76500364655172</v>
          </cell>
          <cell r="AA19">
            <v>3.32105495776914E-3</v>
          </cell>
          <cell r="AB19">
            <v>3.2149612369497968E-2</v>
          </cell>
          <cell r="AC19">
            <v>2.531222774435416E-4</v>
          </cell>
          <cell r="AD19">
            <v>2.450360865861971E-3</v>
          </cell>
          <cell r="AE19">
            <v>1.3100828890727208E-3</v>
          </cell>
          <cell r="AF19">
            <v>0.53464896021013986</v>
          </cell>
          <cell r="AG19">
            <v>4.7974966666666665</v>
          </cell>
          <cell r="AH19">
            <v>5.0606552499999999E-2</v>
          </cell>
          <cell r="AI19">
            <v>-0.77883950000000002</v>
          </cell>
        </row>
        <row r="20">
          <cell r="K20">
            <v>4.4593499999999997</v>
          </cell>
          <cell r="L20">
            <v>4.8163099999999996</v>
          </cell>
          <cell r="M20">
            <v>5.1130800000000001</v>
          </cell>
          <cell r="N20">
            <v>-1.1755899999999999</v>
          </cell>
          <cell r="O20">
            <v>0.174239</v>
          </cell>
          <cell r="P20">
            <v>7.0646700000000003E-3</v>
          </cell>
          <cell r="Q20">
            <v>-3.0675000000000001E-2</v>
          </cell>
          <cell r="R20">
            <v>7.6164300000000004E-2</v>
          </cell>
          <cell r="S20">
            <v>-0.560423</v>
          </cell>
          <cell r="T20">
            <v>-0.128159</v>
          </cell>
          <cell r="U20">
            <v>-0.884548</v>
          </cell>
          <cell r="V20">
            <v>-1.5522800000000001</v>
          </cell>
          <cell r="Y20">
            <v>435.08932663793104</v>
          </cell>
          <cell r="Z20">
            <v>182.75407415517242</v>
          </cell>
          <cell r="AA20">
            <v>3.3388292033258429E-3</v>
          </cell>
          <cell r="AB20">
            <v>3.2321676702089477E-2</v>
          </cell>
          <cell r="AC20">
            <v>2.5307088329004857E-4</v>
          </cell>
          <cell r="AD20">
            <v>2.4498633425948553E-3</v>
          </cell>
          <cell r="AE20">
            <v>1.3206142701126748E-3</v>
          </cell>
          <cell r="AF20">
            <v>0.53905630046854025</v>
          </cell>
          <cell r="AG20">
            <v>4.7962466666666659</v>
          </cell>
          <cell r="AH20">
            <v>5.6698242499999996E-2</v>
          </cell>
          <cell r="AI20">
            <v>-0.78135250000000001</v>
          </cell>
        </row>
        <row r="21">
          <cell r="K21">
            <v>4.4595900000000004</v>
          </cell>
          <cell r="L21">
            <v>4.8146899999999997</v>
          </cell>
          <cell r="M21">
            <v>5.1114300000000004</v>
          </cell>
          <cell r="N21">
            <v>-1.1762600000000001</v>
          </cell>
          <cell r="O21">
            <v>0.174154</v>
          </cell>
          <cell r="P21">
            <v>5.3226000000000002E-3</v>
          </cell>
          <cell r="Q21">
            <v>-3.1307599999999998E-2</v>
          </cell>
          <cell r="R21">
            <v>7.6153399999999996E-2</v>
          </cell>
          <cell r="S21">
            <v>-0.56554700000000002</v>
          </cell>
          <cell r="T21">
            <v>-0.12803100000000001</v>
          </cell>
          <cell r="U21">
            <v>-0.88313399999999997</v>
          </cell>
          <cell r="V21">
            <v>-1.55454</v>
          </cell>
          <cell r="Y21">
            <v>438.20851728448275</v>
          </cell>
          <cell r="Z21">
            <v>184.18414466379309</v>
          </cell>
          <cell r="AA21">
            <v>3.3628554343792384E-3</v>
          </cell>
          <cell r="AB21">
            <v>3.2554263643555063E-2</v>
          </cell>
          <cell r="AC21">
            <v>2.5505800854000308E-4</v>
          </cell>
          <cell r="AD21">
            <v>2.469099792255596E-3</v>
          </cell>
          <cell r="AE21">
            <v>1.3348946036852009E-3</v>
          </cell>
          <cell r="AF21">
            <v>0.54064019926296092</v>
          </cell>
          <cell r="AG21">
            <v>4.7952366666666668</v>
          </cell>
          <cell r="AH21">
            <v>5.6080600000000008E-2</v>
          </cell>
          <cell r="AI21">
            <v>-0.78281299999999998</v>
          </cell>
        </row>
        <row r="22">
          <cell r="K22">
            <v>4.4599000000000002</v>
          </cell>
          <cell r="L22">
            <v>4.8173599999999999</v>
          </cell>
          <cell r="M22">
            <v>5.11463</v>
          </cell>
          <cell r="N22">
            <v>-1.1756899999999999</v>
          </cell>
          <cell r="O22">
            <v>0.17442299999999999</v>
          </cell>
          <cell r="P22">
            <v>6.1536200000000003E-3</v>
          </cell>
          <cell r="Q22">
            <v>-3.1007400000000001E-2</v>
          </cell>
          <cell r="R22">
            <v>7.7031299999999997E-2</v>
          </cell>
          <cell r="S22">
            <v>-0.56963799999999998</v>
          </cell>
          <cell r="T22">
            <v>-0.12830900000000001</v>
          </cell>
          <cell r="U22">
            <v>-0.88343700000000003</v>
          </cell>
          <cell r="V22">
            <v>-1.5587500000000001</v>
          </cell>
          <cell r="Y22">
            <v>436.62570793103453</v>
          </cell>
          <cell r="Z22">
            <v>184.5622151724138</v>
          </cell>
          <cell r="AA22">
            <v>3.3509895679120602E-3</v>
          </cell>
          <cell r="AB22">
            <v>3.2439395623543664E-2</v>
          </cell>
          <cell r="AC22">
            <v>2.5560297634467011E-4</v>
          </cell>
          <cell r="AD22">
            <v>2.4743753760374646E-3</v>
          </cell>
          <cell r="AE22">
            <v>1.3278355579215756E-3</v>
          </cell>
          <cell r="AF22">
            <v>0.53663464758851964</v>
          </cell>
          <cell r="AG22">
            <v>4.797296666666667</v>
          </cell>
          <cell r="AH22">
            <v>5.665013E-2</v>
          </cell>
          <cell r="AI22">
            <v>-0.78503349999999994</v>
          </cell>
        </row>
        <row r="23">
          <cell r="K23">
            <v>4.4606300000000001</v>
          </cell>
          <cell r="L23">
            <v>4.8134199999999998</v>
          </cell>
          <cell r="M23">
            <v>5.1098100000000004</v>
          </cell>
          <cell r="N23">
            <v>-1.17472</v>
          </cell>
          <cell r="O23">
            <v>0.17386799999999999</v>
          </cell>
          <cell r="P23">
            <v>2.34004E-5</v>
          </cell>
          <cell r="Q23">
            <v>-3.5939499999999999E-2</v>
          </cell>
          <cell r="R23">
            <v>7.6268299999999997E-2</v>
          </cell>
          <cell r="S23">
            <v>-0.57193499999999997</v>
          </cell>
          <cell r="T23">
            <v>-0.12828400000000001</v>
          </cell>
          <cell r="U23">
            <v>-0.88349599999999995</v>
          </cell>
          <cell r="V23">
            <v>-1.5611600000000001</v>
          </cell>
          <cell r="Y23">
            <v>436.68489857758624</v>
          </cell>
          <cell r="Z23">
            <v>184.16928568103449</v>
          </cell>
          <cell r="AA23">
            <v>3.3519119229740253E-3</v>
          </cell>
          <cell r="AB23">
            <v>3.2448324520561712E-2</v>
          </cell>
          <cell r="AC23">
            <v>2.550944254017185E-4</v>
          </cell>
          <cell r="AD23">
            <v>2.4694523272189594E-3</v>
          </cell>
          <cell r="AE23">
            <v>1.3283838228876316E-3</v>
          </cell>
          <cell r="AF23">
            <v>0.53792649011516935</v>
          </cell>
          <cell r="AG23">
            <v>4.7946199999999992</v>
          </cell>
          <cell r="AH23">
            <v>5.3555050100000001E-2</v>
          </cell>
          <cell r="AI23">
            <v>-0.78621874999999997</v>
          </cell>
        </row>
        <row r="24">
          <cell r="K24">
            <v>4.4605199999999998</v>
          </cell>
          <cell r="L24">
            <v>4.8151099999999998</v>
          </cell>
          <cell r="M24">
            <v>5.1099399999999999</v>
          </cell>
          <cell r="N24">
            <v>-1.1745300000000001</v>
          </cell>
          <cell r="O24">
            <v>0.17449999999999999</v>
          </cell>
          <cell r="P24">
            <v>1.19378E-3</v>
          </cell>
          <cell r="Q24">
            <v>-3.5583200000000002E-2</v>
          </cell>
          <cell r="R24">
            <v>7.7819100000000002E-2</v>
          </cell>
          <cell r="S24">
            <v>-0.57434099999999999</v>
          </cell>
          <cell r="T24">
            <v>-0.128936</v>
          </cell>
          <cell r="U24">
            <v>-0.88283199999999995</v>
          </cell>
          <cell r="V24">
            <v>-1.5623899999999999</v>
          </cell>
          <cell r="Y24">
            <v>437.89208922413792</v>
          </cell>
          <cell r="Z24">
            <v>184.77935618965518</v>
          </cell>
          <cell r="AA24">
            <v>3.3609717363394511E-3</v>
          </cell>
          <cell r="AB24">
            <v>3.2536028425357709E-2</v>
          </cell>
          <cell r="AC24">
            <v>2.5592372597146775E-4</v>
          </cell>
          <cell r="AD24">
            <v>2.4774804063065611E-3</v>
          </cell>
          <cell r="AE24">
            <v>1.3337731521825349E-3</v>
          </cell>
          <cell r="AF24">
            <v>0.53835870862483626</v>
          </cell>
          <cell r="AG24">
            <v>4.7951899999999998</v>
          </cell>
          <cell r="AH24">
            <v>5.4482419999999997E-2</v>
          </cell>
          <cell r="AI24">
            <v>-0.78712475000000004</v>
          </cell>
        </row>
        <row r="25">
          <cell r="K25">
            <v>5.3167099999999996</v>
          </cell>
          <cell r="L25">
            <v>5.7588100000000004</v>
          </cell>
          <cell r="M25">
            <v>6.0305999999999997</v>
          </cell>
          <cell r="N25">
            <v>-1.1656899999999999</v>
          </cell>
          <cell r="O25">
            <v>0.32264500000000002</v>
          </cell>
          <cell r="P25">
            <v>0.16201699999999999</v>
          </cell>
          <cell r="Q25">
            <v>0.108447</v>
          </cell>
          <cell r="R25">
            <v>0.20718900000000001</v>
          </cell>
          <cell r="S25">
            <v>-0.73423700000000003</v>
          </cell>
          <cell r="T25">
            <v>-0.153668</v>
          </cell>
          <cell r="U25">
            <v>-0.88581900000000002</v>
          </cell>
          <cell r="V25">
            <v>-1.6187400000000001</v>
          </cell>
          <cell r="Y25">
            <v>534.98827987068967</v>
          </cell>
          <cell r="Z25">
            <v>222.22242669827585</v>
          </cell>
          <cell r="AA25">
            <v>4.1065615173179575E-3</v>
          </cell>
          <cell r="AB25">
            <v>3.975374169717287E-2</v>
          </cell>
          <cell r="AC25">
            <v>3.0780898334661504E-4</v>
          </cell>
          <cell r="AD25">
            <v>2.9797578252334467E-3</v>
          </cell>
          <cell r="AE25">
            <v>1.8013669077904491E-3</v>
          </cell>
          <cell r="AF25">
            <v>0.60453466806461786</v>
          </cell>
          <cell r="AG25">
            <v>5.7020400000000002</v>
          </cell>
          <cell r="AH25">
            <v>0.20007449999999999</v>
          </cell>
          <cell r="AI25">
            <v>-0.84811600000000009</v>
          </cell>
        </row>
        <row r="26">
          <cell r="K26">
            <v>5.3383200000000004</v>
          </cell>
          <cell r="L26">
            <v>5.7656499999999999</v>
          </cell>
          <cell r="M26">
            <v>6.0336100000000004</v>
          </cell>
          <cell r="N26">
            <v>-1.16618</v>
          </cell>
          <cell r="O26">
            <v>0.32990199999999997</v>
          </cell>
          <cell r="P26">
            <v>0.15625900000000001</v>
          </cell>
          <cell r="Q26">
            <v>9.5783800000000002E-2</v>
          </cell>
          <cell r="R26">
            <v>0.225082</v>
          </cell>
          <cell r="S26">
            <v>-0.82829799999999998</v>
          </cell>
          <cell r="T26">
            <v>-0.28852299999999997</v>
          </cell>
          <cell r="U26">
            <v>-0.90023399999999998</v>
          </cell>
          <cell r="V26">
            <v>-1.68465</v>
          </cell>
          <cell r="Y26">
            <v>535.66947051724139</v>
          </cell>
          <cell r="Z26">
            <v>222.19149720689654</v>
          </cell>
          <cell r="AA26">
            <v>4.1124026724395349E-3</v>
          </cell>
          <cell r="AB26">
            <v>3.9810287245300433E-2</v>
          </cell>
          <cell r="AC26">
            <v>3.0781197563447941E-4</v>
          </cell>
          <cell r="AD26">
            <v>2.9797867922021241E-3</v>
          </cell>
          <cell r="AE26">
            <v>1.8052116587734647E-3</v>
          </cell>
          <cell r="AF26">
            <v>0.60581906849764111</v>
          </cell>
          <cell r="AG26">
            <v>5.7125266666666663</v>
          </cell>
          <cell r="AH26">
            <v>0.20175669999999998</v>
          </cell>
          <cell r="AI26">
            <v>-0.92542625000000001</v>
          </cell>
        </row>
        <row r="27">
          <cell r="K27">
            <v>5.3519600000000001</v>
          </cell>
          <cell r="L27">
            <v>5.7733999999999996</v>
          </cell>
          <cell r="M27">
            <v>6.0525599999999997</v>
          </cell>
          <cell r="N27">
            <v>-1.1648799999999999</v>
          </cell>
          <cell r="O27">
            <v>0.35803699999999999</v>
          </cell>
          <cell r="P27">
            <v>0.17897299999999999</v>
          </cell>
          <cell r="Q27">
            <v>0.13648099999999999</v>
          </cell>
          <cell r="R27">
            <v>0.261797</v>
          </cell>
          <cell r="S27">
            <v>-0.88786200000000004</v>
          </cell>
          <cell r="T27">
            <v>-0.36534699999999998</v>
          </cell>
          <cell r="U27">
            <v>-0.95609100000000002</v>
          </cell>
          <cell r="V27">
            <v>-1.74041</v>
          </cell>
          <cell r="Y27">
            <v>543.49666116379308</v>
          </cell>
          <cell r="Z27">
            <v>224.72056771551723</v>
          </cell>
          <cell r="AA27">
            <v>4.1724101227851185E-3</v>
          </cell>
          <cell r="AB27">
            <v>4.0391191895306086E-2</v>
          </cell>
          <cell r="AC27">
            <v>3.1130942751809277E-4</v>
          </cell>
          <cell r="AD27">
            <v>3.0136440224403944E-3</v>
          </cell>
          <cell r="AE27">
            <v>1.8448674406141873E-3</v>
          </cell>
          <cell r="AF27">
            <v>0.61217165228434878</v>
          </cell>
          <cell r="AG27">
            <v>5.7259733333333331</v>
          </cell>
          <cell r="AH27">
            <v>0.23382199999999997</v>
          </cell>
          <cell r="AI27">
            <v>-0.9874274999999999</v>
          </cell>
        </row>
        <row r="28">
          <cell r="K28">
            <v>5.3531399999999998</v>
          </cell>
          <cell r="L28">
            <v>5.7742300000000002</v>
          </cell>
          <cell r="M28">
            <v>6.0556999999999999</v>
          </cell>
          <cell r="N28">
            <v>-1.1649499999999999</v>
          </cell>
          <cell r="O28">
            <v>0.35631299999999999</v>
          </cell>
          <cell r="P28">
            <v>0.179284</v>
          </cell>
          <cell r="Q28">
            <v>0.13875499999999999</v>
          </cell>
          <cell r="R28">
            <v>0.26219799999999999</v>
          </cell>
          <cell r="S28">
            <v>-0.90094600000000002</v>
          </cell>
          <cell r="T28">
            <v>-0.37475799999999998</v>
          </cell>
          <cell r="U28">
            <v>-1.0033700000000001</v>
          </cell>
          <cell r="V28">
            <v>-1.7620800000000001</v>
          </cell>
          <cell r="Y28">
            <v>541.32285181034479</v>
          </cell>
          <cell r="Z28">
            <v>223.52063822413794</v>
          </cell>
          <cell r="AA28">
            <v>4.1543350077524743E-3</v>
          </cell>
          <cell r="AB28">
            <v>4.0216214983083004E-2</v>
          </cell>
          <cell r="AC28">
            <v>3.0954380914254373E-4</v>
          </cell>
          <cell r="AD28">
            <v>2.9965518794050697E-3</v>
          </cell>
          <cell r="AE28">
            <v>1.8328923292092406E-3</v>
          </cell>
          <cell r="AF28">
            <v>0.61166714376162912</v>
          </cell>
          <cell r="AG28">
            <v>5.7276899999999999</v>
          </cell>
          <cell r="AH28">
            <v>0.2341375</v>
          </cell>
          <cell r="AI28">
            <v>-1.0102885000000001</v>
          </cell>
        </row>
        <row r="29">
          <cell r="K29">
            <v>5.3646599999999998</v>
          </cell>
          <cell r="L29">
            <v>5.7813100000000004</v>
          </cell>
          <cell r="M29">
            <v>6.0587900000000001</v>
          </cell>
          <cell r="N29">
            <v>-1.1637</v>
          </cell>
          <cell r="O29">
            <v>0.36084699999999997</v>
          </cell>
          <cell r="P29">
            <v>0.17147699999999999</v>
          </cell>
          <cell r="Q29">
            <v>0.13292799999999999</v>
          </cell>
          <cell r="R29">
            <v>0.27886499999999997</v>
          </cell>
          <cell r="S29">
            <v>-0.90943799999999997</v>
          </cell>
          <cell r="T29">
            <v>-0.37962699999999999</v>
          </cell>
          <cell r="U29">
            <v>-1.0375700000000001</v>
          </cell>
          <cell r="V29">
            <v>-1.78129</v>
          </cell>
          <cell r="Y29">
            <v>538.80604245689653</v>
          </cell>
          <cell r="Z29">
            <v>223.71070873275863</v>
          </cell>
          <cell r="AA29">
            <v>4.1360897422160698E-3</v>
          </cell>
          <cell r="AB29">
            <v>4.0039590921743175E-2</v>
          </cell>
          <cell r="AC29">
            <v>3.0988717932590591E-4</v>
          </cell>
          <cell r="AD29">
            <v>2.9998758889245489E-3</v>
          </cell>
          <cell r="AE29">
            <v>1.8208308816371791E-3</v>
          </cell>
          <cell r="AF29">
            <v>0.60696873772666116</v>
          </cell>
          <cell r="AG29">
            <v>5.7349199999999998</v>
          </cell>
          <cell r="AH29">
            <v>0.23602924999999997</v>
          </cell>
          <cell r="AI29">
            <v>-1.02698125</v>
          </cell>
        </row>
        <row r="30">
          <cell r="K30">
            <v>5.35236</v>
          </cell>
          <cell r="L30">
            <v>5.7775299999999996</v>
          </cell>
          <cell r="M30">
            <v>6.0543300000000002</v>
          </cell>
          <cell r="N30">
            <v>-1.1633199999999999</v>
          </cell>
          <cell r="O30">
            <v>0.35137400000000002</v>
          </cell>
          <cell r="P30">
            <v>0.16428699999999999</v>
          </cell>
          <cell r="Q30">
            <v>0.12781699999999999</v>
          </cell>
          <cell r="R30">
            <v>0.27436100000000002</v>
          </cell>
          <cell r="S30">
            <v>-0.91159100000000004</v>
          </cell>
          <cell r="T30">
            <v>-0.38073299999999999</v>
          </cell>
          <cell r="U30">
            <v>-1.0463800000000001</v>
          </cell>
          <cell r="V30">
            <v>-1.78854</v>
          </cell>
          <cell r="Y30">
            <v>542.84223310344828</v>
          </cell>
          <cell r="Z30">
            <v>225.10677924137931</v>
          </cell>
          <cell r="AA30">
            <v>4.1676889829130844E-3</v>
          </cell>
          <cell r="AB30">
            <v>4.0345488701965963E-2</v>
          </cell>
          <cell r="AC30">
            <v>3.1186711828011158E-4</v>
          </cell>
          <cell r="AD30">
            <v>3.0190427713466753E-3</v>
          </cell>
          <cell r="AE30">
            <v>1.8417370869308056E-3</v>
          </cell>
          <cell r="AF30">
            <v>0.61004007773936897</v>
          </cell>
          <cell r="AG30">
            <v>5.7280733333333336</v>
          </cell>
          <cell r="AH30">
            <v>0.22945975000000002</v>
          </cell>
          <cell r="AI30">
            <v>-1.031811</v>
          </cell>
        </row>
        <row r="31">
          <cell r="K31">
            <v>5.3533600000000003</v>
          </cell>
          <cell r="L31">
            <v>5.7754099999999999</v>
          </cell>
          <cell r="M31">
            <v>6.0528700000000004</v>
          </cell>
          <cell r="N31">
            <v>-1.16246</v>
          </cell>
          <cell r="O31">
            <v>0.34734900000000002</v>
          </cell>
          <cell r="P31">
            <v>0.15514800000000001</v>
          </cell>
          <cell r="Q31">
            <v>0.121475</v>
          </cell>
          <cell r="R31">
            <v>0.26698300000000003</v>
          </cell>
          <cell r="S31">
            <v>-0.91229499999999997</v>
          </cell>
          <cell r="T31">
            <v>-0.380851</v>
          </cell>
          <cell r="U31">
            <v>-1.0531600000000001</v>
          </cell>
          <cell r="V31">
            <v>-1.7941400000000001</v>
          </cell>
          <cell r="Y31">
            <v>536.11642375000008</v>
          </cell>
          <cell r="Z31">
            <v>222.74584974999999</v>
          </cell>
          <cell r="AA31">
            <v>4.115099727069727E-3</v>
          </cell>
          <cell r="AB31">
            <v>3.9836396196221945E-2</v>
          </cell>
          <cell r="AC31">
            <v>3.0852489492921511E-4</v>
          </cell>
          <cell r="AD31">
            <v>2.9866882374560999E-3</v>
          </cell>
          <cell r="AE31">
            <v>1.8069878294347864E-3</v>
          </cell>
          <cell r="AF31">
            <v>0.6050138768329838</v>
          </cell>
          <cell r="AG31">
            <v>5.7272133333333342</v>
          </cell>
          <cell r="AH31">
            <v>0.22273874999999999</v>
          </cell>
          <cell r="AI31">
            <v>-1.0351115000000002</v>
          </cell>
        </row>
        <row r="32">
          <cell r="K32">
            <v>5.3531700000000004</v>
          </cell>
          <cell r="L32">
            <v>5.7738300000000002</v>
          </cell>
          <cell r="M32">
            <v>6.0519299999999996</v>
          </cell>
          <cell r="N32">
            <v>-1.1613</v>
          </cell>
          <cell r="O32">
            <v>0.351074</v>
          </cell>
          <cell r="P32">
            <v>0.15218499999999999</v>
          </cell>
          <cell r="Q32">
            <v>0.11745</v>
          </cell>
          <cell r="R32">
            <v>0.27087800000000001</v>
          </cell>
          <cell r="S32">
            <v>-0.91247199999999995</v>
          </cell>
          <cell r="T32">
            <v>-0.380772</v>
          </cell>
          <cell r="U32">
            <v>-1.0532699999999999</v>
          </cell>
          <cell r="V32">
            <v>-1.79573</v>
          </cell>
          <cell r="Y32">
            <v>533.78061439655175</v>
          </cell>
          <cell r="Z32">
            <v>221.28792025862069</v>
          </cell>
          <cell r="AA32">
            <v>4.0979543855454714E-3</v>
          </cell>
          <cell r="AB32">
            <v>3.9670419995599913E-2</v>
          </cell>
          <cell r="AC32">
            <v>3.0656415201270885E-4</v>
          </cell>
          <cell r="AD32">
            <v>2.9677071830852744E-3</v>
          </cell>
          <cell r="AE32">
            <v>1.7957065243148162E-3</v>
          </cell>
          <cell r="AF32">
            <v>0.60508211003754486</v>
          </cell>
          <cell r="AG32">
            <v>5.7263100000000007</v>
          </cell>
          <cell r="AH32">
            <v>0.22289674999999998</v>
          </cell>
          <cell r="AI32">
            <v>-1.035561</v>
          </cell>
        </row>
        <row r="33">
          <cell r="K33">
            <v>5.3634599999999999</v>
          </cell>
          <cell r="L33">
            <v>5.7833699999999997</v>
          </cell>
          <cell r="M33">
            <v>6.0619800000000001</v>
          </cell>
          <cell r="N33">
            <v>-1.15977</v>
          </cell>
          <cell r="O33">
            <v>0.36497400000000002</v>
          </cell>
          <cell r="P33">
            <v>0.17599100000000001</v>
          </cell>
          <cell r="Q33">
            <v>0.139852</v>
          </cell>
          <cell r="R33">
            <v>0.27903499999999998</v>
          </cell>
          <cell r="S33">
            <v>-0.91532400000000003</v>
          </cell>
          <cell r="T33">
            <v>-0.38276199999999999</v>
          </cell>
          <cell r="U33">
            <v>-1.0587</v>
          </cell>
          <cell r="V33">
            <v>-1.80355</v>
          </cell>
          <cell r="Y33">
            <v>544.43980504310343</v>
          </cell>
          <cell r="Z33">
            <v>225.61599076724139</v>
          </cell>
          <cell r="AA33">
            <v>4.1813886544882078E-3</v>
          </cell>
          <cell r="AB33">
            <v>4.0478108949547023E-2</v>
          </cell>
          <cell r="AC33">
            <v>3.1267984191105428E-4</v>
          </cell>
          <cell r="AD33">
            <v>3.0269103766800993E-3</v>
          </cell>
          <cell r="AE33">
            <v>1.8508255469021728E-3</v>
          </cell>
          <cell r="AF33">
            <v>0.61145700287702254</v>
          </cell>
          <cell r="AG33">
            <v>5.7362700000000002</v>
          </cell>
          <cell r="AH33">
            <v>0.23996299999999998</v>
          </cell>
          <cell r="AI33">
            <v>-1.040084</v>
          </cell>
        </row>
        <row r="34">
          <cell r="K34">
            <v>5.3732499999999996</v>
          </cell>
          <cell r="L34">
            <v>5.7845300000000002</v>
          </cell>
          <cell r="M34">
            <v>6.0678599999999996</v>
          </cell>
          <cell r="N34">
            <v>-1.1586099999999999</v>
          </cell>
          <cell r="O34">
            <v>0.36810100000000001</v>
          </cell>
          <cell r="P34">
            <v>0.16705</v>
          </cell>
          <cell r="Q34">
            <v>0.13758999999999999</v>
          </cell>
          <cell r="R34">
            <v>0.28048299999999998</v>
          </cell>
          <cell r="S34">
            <v>-0.91668000000000005</v>
          </cell>
          <cell r="T34">
            <v>-0.383631</v>
          </cell>
          <cell r="U34">
            <v>-1.06332</v>
          </cell>
          <cell r="V34">
            <v>-1.81054</v>
          </cell>
          <cell r="Y34">
            <v>530.55499568965524</v>
          </cell>
          <cell r="Z34">
            <v>220.80306127586206</v>
          </cell>
          <cell r="AA34">
            <v>4.0733492051248134E-3</v>
          </cell>
          <cell r="AB34">
            <v>3.9432228510404774E-2</v>
          </cell>
          <cell r="AC34">
            <v>3.0590435863951686E-4</v>
          </cell>
          <cell r="AD34">
            <v>2.9613200255519541E-3</v>
          </cell>
          <cell r="AE34">
            <v>1.7795579939366541E-3</v>
          </cell>
          <cell r="AF34">
            <v>0.60093403569408754</v>
          </cell>
          <cell r="AG34">
            <v>5.7418799999999992</v>
          </cell>
          <cell r="AH34">
            <v>0.23830600000000002</v>
          </cell>
          <cell r="AI34">
            <v>-1.0435427499999999</v>
          </cell>
        </row>
        <row r="35">
          <cell r="K35">
            <v>6.2346700000000004</v>
          </cell>
          <cell r="L35">
            <v>6.72018</v>
          </cell>
          <cell r="M35">
            <v>6.9677699999999998</v>
          </cell>
          <cell r="N35">
            <v>-1.1123700000000001</v>
          </cell>
          <cell r="O35">
            <v>0.456063</v>
          </cell>
          <cell r="P35">
            <v>0.308139</v>
          </cell>
          <cell r="Q35">
            <v>0.26448700000000003</v>
          </cell>
          <cell r="R35">
            <v>0.36684899999999998</v>
          </cell>
          <cell r="S35">
            <v>-0.98551800000000001</v>
          </cell>
          <cell r="T35">
            <v>-0.41638999999999998</v>
          </cell>
          <cell r="U35">
            <v>-1.08517</v>
          </cell>
          <cell r="V35">
            <v>-1.8382799999999999</v>
          </cell>
          <cell r="Y35">
            <v>633.62918633620689</v>
          </cell>
          <cell r="Z35">
            <v>267.64613178448275</v>
          </cell>
          <cell r="AA35">
            <v>4.8645216917229984E-3</v>
          </cell>
          <cell r="AB35">
            <v>4.7091207083475299E-2</v>
          </cell>
          <cell r="AC35">
            <v>3.7078766777267393E-4</v>
          </cell>
          <cell r="AD35">
            <v>3.5894256318748687E-3</v>
          </cell>
          <cell r="AE35">
            <v>2.3224421084553589E-3</v>
          </cell>
          <cell r="AF35">
            <v>0.64702332535645135</v>
          </cell>
          <cell r="AG35">
            <v>6.6408733333333343</v>
          </cell>
          <cell r="AH35">
            <v>0.34888449999999999</v>
          </cell>
          <cell r="AI35">
            <v>-1.0813394999999999</v>
          </cell>
        </row>
        <row r="36">
          <cell r="K36">
            <v>6.2470999999999997</v>
          </cell>
          <cell r="L36">
            <v>6.7240000000000002</v>
          </cell>
          <cell r="M36">
            <v>6.9757199999999999</v>
          </cell>
          <cell r="N36">
            <v>-0.97085299999999997</v>
          </cell>
          <cell r="O36">
            <v>0.48353000000000002</v>
          </cell>
          <cell r="P36">
            <v>0.31940099999999999</v>
          </cell>
          <cell r="Q36">
            <v>0.28509499999999999</v>
          </cell>
          <cell r="R36">
            <v>0.39924900000000002</v>
          </cell>
          <cell r="S36">
            <v>-1.0268299999999999</v>
          </cell>
          <cell r="T36">
            <v>-0.45636599999999999</v>
          </cell>
          <cell r="U36">
            <v>-1.1198600000000001</v>
          </cell>
          <cell r="V36">
            <v>-1.85629</v>
          </cell>
          <cell r="Y36">
            <v>637.54037698275863</v>
          </cell>
          <cell r="Z36">
            <v>267.1192022931034</v>
          </cell>
          <cell r="AA36">
            <v>4.8937984417835581E-3</v>
          </cell>
          <cell r="AB36">
            <v>4.7374621895290979E-2</v>
          </cell>
          <cell r="AC36">
            <v>3.700009439507587E-4</v>
          </cell>
          <cell r="AD36">
            <v>3.5818097187875963E-3</v>
          </cell>
          <cell r="AE36">
            <v>2.34343978178317E-3</v>
          </cell>
          <cell r="AF36">
            <v>0.65426138342614104</v>
          </cell>
          <cell r="AG36">
            <v>6.6489399999999996</v>
          </cell>
          <cell r="AH36">
            <v>0.37181875000000003</v>
          </cell>
          <cell r="AI36">
            <v>-1.1148365</v>
          </cell>
        </row>
        <row r="37">
          <cell r="K37">
            <v>6.2619999999999996</v>
          </cell>
          <cell r="L37">
            <v>6.7315899999999997</v>
          </cell>
          <cell r="M37">
            <v>6.9967100000000002</v>
          </cell>
          <cell r="N37">
            <v>-0.85159200000000002</v>
          </cell>
          <cell r="O37">
            <v>0.49354900000000002</v>
          </cell>
          <cell r="P37">
            <v>0.32520399999999999</v>
          </cell>
          <cell r="Q37">
            <v>0.289155</v>
          </cell>
          <cell r="R37">
            <v>0.40762500000000002</v>
          </cell>
          <cell r="S37">
            <v>-1.0702799999999999</v>
          </cell>
          <cell r="T37">
            <v>-0.48783300000000002</v>
          </cell>
          <cell r="U37">
            <v>-1.15219</v>
          </cell>
          <cell r="V37">
            <v>-1.87405</v>
          </cell>
          <cell r="Y37">
            <v>637.77256762931029</v>
          </cell>
          <cell r="Z37">
            <v>267.34227280172411</v>
          </cell>
          <cell r="AA37">
            <v>4.8938880209912815E-3</v>
          </cell>
          <cell r="AB37">
            <v>4.737548907058356E-2</v>
          </cell>
          <cell r="AC37">
            <v>3.7018188976785404E-4</v>
          </cell>
          <cell r="AD37">
            <v>3.583561372389681E-3</v>
          </cell>
          <cell r="AE37">
            <v>2.3435041258020768E-3</v>
          </cell>
          <cell r="AF37">
            <v>0.65395953418242203</v>
          </cell>
          <cell r="AG37">
            <v>6.6634333333333329</v>
          </cell>
          <cell r="AH37">
            <v>0.37888325</v>
          </cell>
          <cell r="AI37">
            <v>-1.14608825</v>
          </cell>
        </row>
        <row r="38">
          <cell r="K38">
            <v>6.2676400000000001</v>
          </cell>
          <cell r="L38">
            <v>6.7368300000000003</v>
          </cell>
          <cell r="M38">
            <v>6.9951999999999996</v>
          </cell>
          <cell r="N38">
            <v>-0.36812400000000001</v>
          </cell>
          <cell r="O38">
            <v>0.50391900000000001</v>
          </cell>
          <cell r="P38">
            <v>0.34096399999999999</v>
          </cell>
          <cell r="Q38">
            <v>0.30395800000000001</v>
          </cell>
          <cell r="R38">
            <v>0.41731000000000001</v>
          </cell>
          <cell r="S38">
            <v>-1.10971</v>
          </cell>
          <cell r="T38">
            <v>-0.53221700000000005</v>
          </cell>
          <cell r="U38">
            <v>-1.1908300000000001</v>
          </cell>
          <cell r="V38">
            <v>-1.89839</v>
          </cell>
          <cell r="Y38">
            <v>643.3877582758621</v>
          </cell>
          <cell r="Z38">
            <v>268.89434331034482</v>
          </cell>
          <cell r="AA38">
            <v>4.938069164921617E-3</v>
          </cell>
          <cell r="AB38">
            <v>4.7803186494884964E-2</v>
          </cell>
          <cell r="AC38">
            <v>3.7241347007529221E-4</v>
          </cell>
          <cell r="AD38">
            <v>3.6051642795284821E-3</v>
          </cell>
          <cell r="AE38">
            <v>2.3753107459395266E-3</v>
          </cell>
          <cell r="AF38">
            <v>0.65886338645577402</v>
          </cell>
          <cell r="AG38">
            <v>6.6665566666666676</v>
          </cell>
          <cell r="AH38">
            <v>0.39153775000000002</v>
          </cell>
          <cell r="AI38">
            <v>-1.18278675</v>
          </cell>
        </row>
        <row r="39">
          <cell r="K39">
            <v>6.2727199999999996</v>
          </cell>
          <cell r="L39">
            <v>6.7401799999999996</v>
          </cell>
          <cell r="M39">
            <v>6.9982600000000001</v>
          </cell>
          <cell r="N39">
            <v>-0.35638900000000001</v>
          </cell>
          <cell r="O39">
            <v>0.50738399999999995</v>
          </cell>
          <cell r="P39">
            <v>0.32685799999999998</v>
          </cell>
          <cell r="Q39">
            <v>0.29490100000000002</v>
          </cell>
          <cell r="R39">
            <v>0.42676799999999998</v>
          </cell>
          <cell r="S39">
            <v>-1.13541</v>
          </cell>
          <cell r="T39">
            <v>-0.55967199999999995</v>
          </cell>
          <cell r="U39">
            <v>-1.2432799999999999</v>
          </cell>
          <cell r="V39">
            <v>-1.9195599999999999</v>
          </cell>
          <cell r="Y39">
            <v>640.15594892241381</v>
          </cell>
          <cell r="Z39">
            <v>270.1404138189655</v>
          </cell>
          <cell r="AA39">
            <v>4.9130000946263006E-3</v>
          </cell>
          <cell r="AB39">
            <v>4.7560504304223622E-2</v>
          </cell>
          <cell r="AC39">
            <v>3.7411910533912519E-4</v>
          </cell>
          <cell r="AD39">
            <v>3.6216757535249291E-3</v>
          </cell>
          <cell r="AE39">
            <v>2.3572456305870786E-3</v>
          </cell>
          <cell r="AF39">
            <v>0.65087152771553403</v>
          </cell>
          <cell r="AG39">
            <v>6.6703866666666656</v>
          </cell>
          <cell r="AH39">
            <v>0.38897775000000001</v>
          </cell>
          <cell r="AI39">
            <v>-1.2144804999999999</v>
          </cell>
        </row>
        <row r="40">
          <cell r="K40">
            <v>6.2837100000000001</v>
          </cell>
          <cell r="L40">
            <v>6.7384599999999999</v>
          </cell>
          <cell r="M40">
            <v>6.9983899999999997</v>
          </cell>
          <cell r="N40">
            <v>-0.17641999999999999</v>
          </cell>
          <cell r="O40">
            <v>0.51571999999999996</v>
          </cell>
          <cell r="P40">
            <v>0.31895800000000002</v>
          </cell>
          <cell r="Q40">
            <v>0.28682400000000002</v>
          </cell>
          <cell r="R40">
            <v>0.43154199999999998</v>
          </cell>
          <cell r="S40">
            <v>-1.1395200000000001</v>
          </cell>
          <cell r="T40">
            <v>-0.56384999999999996</v>
          </cell>
          <cell r="U40">
            <v>-1.2520100000000001</v>
          </cell>
          <cell r="V40">
            <v>-1.9288099999999999</v>
          </cell>
          <cell r="Y40">
            <v>636.19613956896546</v>
          </cell>
          <cell r="Z40">
            <v>266.00648432758618</v>
          </cell>
          <cell r="AA40">
            <v>4.8811388206698629E-3</v>
          </cell>
          <cell r="AB40">
            <v>4.7252069899998674E-2</v>
          </cell>
          <cell r="AC40">
            <v>3.6828301734051196E-4</v>
          </cell>
          <cell r="AD40">
            <v>3.565179257894598E-3</v>
          </cell>
          <cell r="AE40">
            <v>2.3343524034598927E-3</v>
          </cell>
          <cell r="AF40">
            <v>0.65476438478957011</v>
          </cell>
          <cell r="AG40">
            <v>6.6735199999999999</v>
          </cell>
          <cell r="AH40">
            <v>0.38826099999999997</v>
          </cell>
          <cell r="AI40">
            <v>-1.2210475000000001</v>
          </cell>
        </row>
        <row r="41">
          <cell r="K41">
            <v>6.2735799999999999</v>
          </cell>
          <cell r="L41">
            <v>6.7405799999999996</v>
          </cell>
          <cell r="M41">
            <v>7.0014000000000003</v>
          </cell>
          <cell r="N41">
            <v>0.42150799999999999</v>
          </cell>
          <cell r="O41">
            <v>0.513042</v>
          </cell>
          <cell r="P41">
            <v>0.33146999999999999</v>
          </cell>
          <cell r="Q41">
            <v>0.29826599999999998</v>
          </cell>
          <cell r="R41">
            <v>0.43118400000000001</v>
          </cell>
          <cell r="S41">
            <v>-1.14046</v>
          </cell>
          <cell r="T41">
            <v>-0.56480399999999997</v>
          </cell>
          <cell r="U41">
            <v>-1.25359</v>
          </cell>
          <cell r="V41">
            <v>-1.93245</v>
          </cell>
          <cell r="Y41">
            <v>640.94533021551729</v>
          </cell>
          <cell r="Z41">
            <v>269.43755483620686</v>
          </cell>
          <cell r="AA41">
            <v>4.9177797851040839E-3</v>
          </cell>
          <cell r="AB41">
            <v>4.7606774299168285E-2</v>
          </cell>
          <cell r="AC41">
            <v>3.7304872311606736E-4</v>
          </cell>
          <cell r="AD41">
            <v>3.6113138733404391E-3</v>
          </cell>
          <cell r="AE41">
            <v>2.3606863930936981E-3</v>
          </cell>
          <cell r="AF41">
            <v>0.65369183512982221</v>
          </cell>
          <cell r="AG41">
            <v>6.6718533333333339</v>
          </cell>
          <cell r="AH41">
            <v>0.39349049999999997</v>
          </cell>
          <cell r="AI41">
            <v>-1.222826</v>
          </cell>
        </row>
        <row r="42">
          <cell r="K42">
            <v>6.2748799999999996</v>
          </cell>
          <cell r="L42">
            <v>6.73942</v>
          </cell>
          <cell r="M42">
            <v>6.9972799999999999</v>
          </cell>
          <cell r="N42">
            <v>-0.76714199999999999</v>
          </cell>
          <cell r="O42">
            <v>0.512853</v>
          </cell>
          <cell r="P42">
            <v>0.31906800000000002</v>
          </cell>
          <cell r="Q42">
            <v>0.287387</v>
          </cell>
          <cell r="R42">
            <v>0.43088100000000001</v>
          </cell>
          <cell r="S42">
            <v>-1.14273</v>
          </cell>
          <cell r="T42">
            <v>-0.56724600000000003</v>
          </cell>
          <cell r="U42">
            <v>-1.2563299999999999</v>
          </cell>
          <cell r="V42">
            <v>-1.9378599999999999</v>
          </cell>
          <cell r="Y42">
            <v>642.50352086206897</v>
          </cell>
          <cell r="Z42">
            <v>270.78962534482758</v>
          </cell>
          <cell r="AA42">
            <v>4.929041058919348E-3</v>
          </cell>
          <cell r="AB42">
            <v>4.7715789534553223E-2</v>
          </cell>
          <cell r="AC42">
            <v>3.748679272137225E-4</v>
          </cell>
          <cell r="AD42">
            <v>3.6289247552151256E-3</v>
          </cell>
          <cell r="AE42">
            <v>2.368799672914678E-3</v>
          </cell>
          <cell r="AF42">
            <v>0.65275524644331007</v>
          </cell>
          <cell r="AG42">
            <v>6.6705266666666665</v>
          </cell>
          <cell r="AH42">
            <v>0.38754725000000001</v>
          </cell>
          <cell r="AI42">
            <v>-1.2260415</v>
          </cell>
        </row>
        <row r="43">
          <cell r="K43">
            <v>6.2733999999999996</v>
          </cell>
          <cell r="L43">
            <v>6.7360699999999998</v>
          </cell>
          <cell r="M43">
            <v>6.9972799999999999</v>
          </cell>
          <cell r="N43">
            <v>-1.7697099999999999</v>
          </cell>
          <cell r="O43">
            <v>0.50981299999999996</v>
          </cell>
          <cell r="P43">
            <v>0.30961300000000003</v>
          </cell>
          <cell r="Q43">
            <v>0.283804</v>
          </cell>
          <cell r="R43">
            <v>0.43051499999999998</v>
          </cell>
          <cell r="S43">
            <v>-1.14557</v>
          </cell>
          <cell r="T43">
            <v>-0.57196199999999997</v>
          </cell>
          <cell r="U43">
            <v>-1.2601100000000001</v>
          </cell>
          <cell r="V43">
            <v>-1.9458299999999999</v>
          </cell>
          <cell r="Y43">
            <v>641.39671150862068</v>
          </cell>
          <cell r="Z43">
            <v>268.98669585344823</v>
          </cell>
          <cell r="AA43">
            <v>4.9223526912816045E-3</v>
          </cell>
          <cell r="AB43">
            <v>4.7651042509986488E-2</v>
          </cell>
          <cell r="AC43">
            <v>3.7250845870292804E-4</v>
          </cell>
          <cell r="AD43">
            <v>3.606083820938316E-3</v>
          </cell>
          <cell r="AE43">
            <v>2.3639798630165298E-3</v>
          </cell>
          <cell r="AF43">
            <v>0.65555322072391919</v>
          </cell>
          <cell r="AG43">
            <v>6.668916666666667</v>
          </cell>
          <cell r="AH43">
            <v>0.38343624999999998</v>
          </cell>
          <cell r="AI43">
            <v>-1.2308680000000001</v>
          </cell>
        </row>
        <row r="44">
          <cell r="K44">
            <v>6.2677399999999999</v>
          </cell>
          <cell r="L44">
            <v>6.7343200000000003</v>
          </cell>
          <cell r="M44">
            <v>6.9968899999999996</v>
          </cell>
          <cell r="N44">
            <v>-0.85598799999999997</v>
          </cell>
          <cell r="O44">
            <v>0.50480899999999995</v>
          </cell>
          <cell r="P44">
            <v>0.31139</v>
          </cell>
          <cell r="Q44">
            <v>0.28717700000000002</v>
          </cell>
          <cell r="R44">
            <v>0.42960399999999999</v>
          </cell>
          <cell r="S44">
            <v>-1.14653</v>
          </cell>
          <cell r="T44">
            <v>-0.57304699999999997</v>
          </cell>
          <cell r="U44">
            <v>-1.2663199999999999</v>
          </cell>
          <cell r="V44">
            <v>-1.9500500000000001</v>
          </cell>
          <cell r="Y44">
            <v>641.46590215517244</v>
          </cell>
          <cell r="Z44">
            <v>269.09976636206892</v>
          </cell>
          <cell r="AA44">
            <v>4.9239737740395927E-3</v>
          </cell>
          <cell r="AB44">
            <v>4.7666735469889573E-2</v>
          </cell>
          <cell r="AC44">
            <v>3.727475653140177E-4</v>
          </cell>
          <cell r="AD44">
            <v>3.6083985025558343E-3</v>
          </cell>
          <cell r="AE44">
            <v>2.3651477565225167E-3</v>
          </cell>
          <cell r="AF44">
            <v>0.65545636238549565</v>
          </cell>
          <cell r="AG44">
            <v>6.6663166666666669</v>
          </cell>
          <cell r="AH44">
            <v>0.38324499999999995</v>
          </cell>
          <cell r="AI44">
            <v>-1.2339867500000001</v>
          </cell>
        </row>
        <row r="45">
          <cell r="K45">
            <v>6.2707800000000002</v>
          </cell>
          <cell r="L45">
            <v>6.7378499999999999</v>
          </cell>
          <cell r="M45">
            <v>7.0009899999999998</v>
          </cell>
          <cell r="N45">
            <v>-0.49613699999999999</v>
          </cell>
          <cell r="O45">
            <v>0.51417599999999997</v>
          </cell>
          <cell r="P45">
            <v>0.32427299999999998</v>
          </cell>
          <cell r="Q45">
            <v>0.29540300000000003</v>
          </cell>
          <cell r="R45">
            <v>0.431205</v>
          </cell>
          <cell r="S45">
            <v>-1.1486000000000001</v>
          </cell>
          <cell r="T45">
            <v>-0.57600799999999996</v>
          </cell>
          <cell r="U45">
            <v>-1.27121</v>
          </cell>
          <cell r="V45">
            <v>-1.95747</v>
          </cell>
          <cell r="Y45">
            <v>642.93709280172413</v>
          </cell>
          <cell r="Z45">
            <v>269.22483687068961</v>
          </cell>
          <cell r="AA45">
            <v>4.9354089410451147E-3</v>
          </cell>
          <cell r="AB45">
            <v>4.7777434085625507E-2</v>
          </cell>
          <cell r="AC45">
            <v>3.7293154758348069E-4</v>
          </cell>
          <cell r="AD45">
            <v>3.61017955066293E-3</v>
          </cell>
          <cell r="AE45">
            <v>2.3733915725582134E-3</v>
          </cell>
          <cell r="AF45">
            <v>0.65741649113335432</v>
          </cell>
          <cell r="AG45">
            <v>6.6698733333333324</v>
          </cell>
          <cell r="AH45">
            <v>0.39126425000000004</v>
          </cell>
          <cell r="AI45">
            <v>-1.2383219999999999</v>
          </cell>
        </row>
        <row r="46">
          <cell r="K46">
            <v>7.2456800000000001</v>
          </cell>
          <cell r="L46">
            <v>7.6787400000000003</v>
          </cell>
          <cell r="M46">
            <v>7.9244599999999998</v>
          </cell>
          <cell r="N46">
            <v>7.9865599999999999</v>
          </cell>
          <cell r="O46">
            <v>0.69084000000000001</v>
          </cell>
          <cell r="P46">
            <v>0.48814099999999999</v>
          </cell>
          <cell r="Q46">
            <v>0.45723200000000003</v>
          </cell>
          <cell r="R46">
            <v>0.59512900000000002</v>
          </cell>
          <cell r="S46">
            <v>-1.3294999999999999</v>
          </cell>
          <cell r="T46">
            <v>-0.76405199999999995</v>
          </cell>
          <cell r="U46">
            <v>-1.4008799999999999</v>
          </cell>
          <cell r="V46">
            <v>-2.0419499999999999</v>
          </cell>
          <cell r="Y46">
            <v>749.01828344827584</v>
          </cell>
          <cell r="Z46">
            <v>323.9899073793103</v>
          </cell>
          <cell r="AA46">
            <v>5.747160311421742E-3</v>
          </cell>
          <cell r="AB46">
            <v>5.5635627409697401E-2</v>
          </cell>
          <cell r="AC46">
            <v>4.4859219577455303E-4</v>
          </cell>
          <cell r="AD46">
            <v>4.3426156415736009E-3</v>
          </cell>
          <cell r="AE46">
            <v>2.9823914658233092E-3</v>
          </cell>
          <cell r="AF46">
            <v>0.68677306765804458</v>
          </cell>
          <cell r="AG46">
            <v>7.7088600000000005</v>
          </cell>
          <cell r="AH46">
            <v>0.55783550000000004</v>
          </cell>
          <cell r="AI46">
            <v>-1.3840954999999999</v>
          </cell>
        </row>
        <row r="47">
          <cell r="K47">
            <v>7.2447600000000003</v>
          </cell>
          <cell r="L47">
            <v>7.68607</v>
          </cell>
          <cell r="M47">
            <v>7.9356999999999998</v>
          </cell>
          <cell r="N47">
            <v>7.99437</v>
          </cell>
          <cell r="O47">
            <v>0.69809600000000005</v>
          </cell>
          <cell r="P47">
            <v>0.50778699999999999</v>
          </cell>
          <cell r="Q47">
            <v>0.47547699999999998</v>
          </cell>
          <cell r="R47">
            <v>0.62285000000000001</v>
          </cell>
          <cell r="S47">
            <v>-1.4699500000000001</v>
          </cell>
          <cell r="T47">
            <v>-0.89592300000000002</v>
          </cell>
          <cell r="U47">
            <v>-1.5686899999999999</v>
          </cell>
          <cell r="V47">
            <v>-2.1629100000000001</v>
          </cell>
          <cell r="Y47">
            <v>762.82647409482752</v>
          </cell>
          <cell r="Z47">
            <v>327.22597788793104</v>
          </cell>
          <cell r="AA47">
            <v>5.8584919145578795E-3</v>
          </cell>
          <cell r="AB47">
            <v>5.6713377682070465E-2</v>
          </cell>
          <cell r="AC47">
            <v>4.5348945378049317E-4</v>
          </cell>
          <cell r="AD47">
            <v>4.3900237539253933E-3</v>
          </cell>
          <cell r="AE47">
            <v>3.06947028187546E-3</v>
          </cell>
          <cell r="AF47">
            <v>0.69919218070992339</v>
          </cell>
          <cell r="AG47">
            <v>7.7152250000000002</v>
          </cell>
          <cell r="AH47">
            <v>0.57605249999999997</v>
          </cell>
          <cell r="AI47">
            <v>-1.52436825</v>
          </cell>
        </row>
        <row r="48">
          <cell r="K48">
            <v>7.2398100000000003</v>
          </cell>
          <cell r="L48">
            <v>7.6812399999999998</v>
          </cell>
          <cell r="M48">
            <v>7.9326400000000001</v>
          </cell>
          <cell r="N48">
            <v>7.98353</v>
          </cell>
          <cell r="O48">
            <v>0.70014100000000001</v>
          </cell>
          <cell r="P48">
            <v>0.50426099999999996</v>
          </cell>
          <cell r="Q48">
            <v>0.47421099999999999</v>
          </cell>
          <cell r="R48">
            <v>0.62897400000000003</v>
          </cell>
          <cell r="S48">
            <v>-1.47882</v>
          </cell>
          <cell r="T48">
            <v>-0.90030699999999997</v>
          </cell>
          <cell r="U48">
            <v>-1.5845800000000001</v>
          </cell>
          <cell r="V48">
            <v>-2.1764899999999998</v>
          </cell>
          <cell r="Y48">
            <v>765.22366474137937</v>
          </cell>
          <cell r="Z48">
            <v>327.16404839655172</v>
          </cell>
          <cell r="AA48">
            <v>5.8728701452409656E-3</v>
          </cell>
          <cell r="AB48">
            <v>5.6852566749670527E-2</v>
          </cell>
          <cell r="AC48">
            <v>4.5309254774929719E-4</v>
          </cell>
          <cell r="AD48">
            <v>4.3861814883765461E-3</v>
          </cell>
          <cell r="AE48">
            <v>3.0807771045463636E-3</v>
          </cell>
          <cell r="AF48">
            <v>0.70238249664553876</v>
          </cell>
          <cell r="AG48">
            <v>7.7093050000000005</v>
          </cell>
          <cell r="AH48">
            <v>0.57689674999999996</v>
          </cell>
          <cell r="AI48">
            <v>-1.5350492500000001</v>
          </cell>
        </row>
        <row r="49">
          <cell r="K49">
            <v>7.2427000000000001</v>
          </cell>
          <cell r="L49">
            <v>7.6846899999999998</v>
          </cell>
          <cell r="M49">
            <v>7.9353499999999997</v>
          </cell>
          <cell r="N49">
            <v>7.9882099999999996</v>
          </cell>
          <cell r="O49">
            <v>0.67987399999999998</v>
          </cell>
          <cell r="P49">
            <v>0.478939</v>
          </cell>
          <cell r="Q49">
            <v>0.457455</v>
          </cell>
          <cell r="R49">
            <v>0.62056299999999998</v>
          </cell>
          <cell r="S49">
            <v>-1.47807</v>
          </cell>
          <cell r="T49">
            <v>-0.90021399999999996</v>
          </cell>
          <cell r="U49">
            <v>-1.59806</v>
          </cell>
          <cell r="V49">
            <v>-2.1796899999999999</v>
          </cell>
          <cell r="Y49">
            <v>751.04285538793101</v>
          </cell>
          <cell r="Z49">
            <v>321.99611890517241</v>
          </cell>
          <cell r="AA49">
            <v>5.7656594212385911E-3</v>
          </cell>
          <cell r="AB49">
            <v>5.5814708821283553E-2</v>
          </cell>
          <cell r="AC49">
            <v>4.4606098848887134E-4</v>
          </cell>
          <cell r="AD49">
            <v>4.3181121828545143E-3</v>
          </cell>
          <cell r="AE49">
            <v>2.996802746542539E-3</v>
          </cell>
          <cell r="AF49">
            <v>0.69400761713455172</v>
          </cell>
          <cell r="AG49">
            <v>7.7127374999999994</v>
          </cell>
          <cell r="AH49">
            <v>0.55920774999999989</v>
          </cell>
          <cell r="AI49">
            <v>-1.5390085</v>
          </cell>
        </row>
        <row r="50">
          <cell r="K50">
            <v>7.2595400000000003</v>
          </cell>
          <cell r="L50">
            <v>7.6853999999999996</v>
          </cell>
          <cell r="M50">
            <v>7.9352999999999998</v>
          </cell>
          <cell r="N50">
            <v>7.9899399999999998</v>
          </cell>
          <cell r="O50">
            <v>0.70147199999999998</v>
          </cell>
          <cell r="P50">
            <v>0.49013299999999999</v>
          </cell>
          <cell r="Q50">
            <v>0.46322400000000002</v>
          </cell>
          <cell r="R50">
            <v>0.62551900000000005</v>
          </cell>
          <cell r="S50">
            <v>-1.4784299999999999</v>
          </cell>
          <cell r="T50">
            <v>-0.900532</v>
          </cell>
          <cell r="U50">
            <v>-1.5987</v>
          </cell>
          <cell r="V50">
            <v>-2.1821600000000001</v>
          </cell>
          <cell r="Y50">
            <v>752.27804603448283</v>
          </cell>
          <cell r="Z50">
            <v>322.35318941379307</v>
          </cell>
          <cell r="AA50">
            <v>5.7678976338662678E-3</v>
          </cell>
          <cell r="AB50">
            <v>5.5836375932877713E-2</v>
          </cell>
          <cell r="AC50">
            <v>4.4599549026980818E-4</v>
          </cell>
          <cell r="AD50">
            <v>4.3174781245867199E-3</v>
          </cell>
          <cell r="AE50">
            <v>2.9985479413695581E-3</v>
          </cell>
          <cell r="AF50">
            <v>0.69451375428951057</v>
          </cell>
          <cell r="AG50">
            <v>7.7175450000000003</v>
          </cell>
          <cell r="AH50">
            <v>0.57008700000000001</v>
          </cell>
          <cell r="AI50">
            <v>-1.5399555</v>
          </cell>
        </row>
        <row r="51">
          <cell r="K51">
            <v>7.2496400000000003</v>
          </cell>
          <cell r="L51">
            <v>7.6865600000000001</v>
          </cell>
          <cell r="M51">
            <v>7.9411899999999997</v>
          </cell>
          <cell r="N51">
            <v>7.9867100000000004</v>
          </cell>
          <cell r="O51">
            <v>0.71048</v>
          </cell>
          <cell r="P51">
            <v>0.51437100000000002</v>
          </cell>
          <cell r="Q51">
            <v>0.49046400000000001</v>
          </cell>
          <cell r="R51">
            <v>0.63193999999999995</v>
          </cell>
          <cell r="S51">
            <v>-1.4799</v>
          </cell>
          <cell r="T51">
            <v>-0.90112400000000004</v>
          </cell>
          <cell r="U51">
            <v>-1.5990200000000001</v>
          </cell>
          <cell r="V51">
            <v>-2.1842000000000001</v>
          </cell>
          <cell r="Y51">
            <v>761.61823668103455</v>
          </cell>
          <cell r="Z51">
            <v>325.94325992241374</v>
          </cell>
          <cell r="AA51">
            <v>5.8418858239799604E-3</v>
          </cell>
          <cell r="AB51">
            <v>5.6552621722942502E-2</v>
          </cell>
          <cell r="AC51">
            <v>4.5114596196922245E-4</v>
          </cell>
          <cell r="AD51">
            <v>4.3673374827611078E-3</v>
          </cell>
          <cell r="AE51">
            <v>3.0564287607470013E-3</v>
          </cell>
          <cell r="AF51">
            <v>0.69983800720952605</v>
          </cell>
          <cell r="AG51">
            <v>7.7160250000000001</v>
          </cell>
          <cell r="AH51">
            <v>0.58681375000000002</v>
          </cell>
          <cell r="AI51">
            <v>-1.541061</v>
          </cell>
        </row>
        <row r="52">
          <cell r="K52">
            <v>7.2473400000000003</v>
          </cell>
          <cell r="L52">
            <v>7.69055</v>
          </cell>
          <cell r="M52">
            <v>7.9438599999999999</v>
          </cell>
          <cell r="N52">
            <v>6.6198300000000003</v>
          </cell>
          <cell r="O52">
            <v>0.70543500000000003</v>
          </cell>
          <cell r="P52">
            <v>0.51696699999999995</v>
          </cell>
          <cell r="Q52">
            <v>0.48536699999999999</v>
          </cell>
          <cell r="R52">
            <v>0.63096399999999997</v>
          </cell>
          <cell r="S52">
            <v>-1.48024</v>
          </cell>
          <cell r="T52">
            <v>-0.90095099999999995</v>
          </cell>
          <cell r="U52">
            <v>-1.60005</v>
          </cell>
          <cell r="V52">
            <v>-2.1881400000000002</v>
          </cell>
          <cell r="Y52">
            <v>756.46942732758612</v>
          </cell>
          <cell r="Z52">
            <v>324.66633043103445</v>
          </cell>
          <cell r="AA52">
            <v>5.8061225142562118E-3</v>
          </cell>
          <cell r="AB52">
            <v>5.6206413497155966E-2</v>
          </cell>
          <cell r="AC52">
            <v>4.4966740367400964E-4</v>
          </cell>
          <cell r="AD52">
            <v>4.3530242369216807E-3</v>
          </cell>
          <cell r="AE52">
            <v>3.028405135826152E-3</v>
          </cell>
          <cell r="AF52">
            <v>0.69570141837017274</v>
          </cell>
          <cell r="AG52">
            <v>7.3753950000000001</v>
          </cell>
          <cell r="AH52">
            <v>0.58468324999999999</v>
          </cell>
          <cell r="AI52">
            <v>-1.5423452499999999</v>
          </cell>
        </row>
        <row r="53">
          <cell r="K53">
            <v>7.2412799999999997</v>
          </cell>
          <cell r="L53">
            <v>7.6898900000000001</v>
          </cell>
          <cell r="M53">
            <v>7.9382799999999998</v>
          </cell>
          <cell r="N53">
            <v>-1.06915</v>
          </cell>
          <cell r="O53">
            <v>0.68101699999999998</v>
          </cell>
          <cell r="P53">
            <v>0.48134900000000003</v>
          </cell>
          <cell r="Q53">
            <v>0.45845599999999997</v>
          </cell>
          <cell r="R53">
            <v>0.62909000000000004</v>
          </cell>
          <cell r="S53">
            <v>-1.48553</v>
          </cell>
          <cell r="T53">
            <v>-0.90095099999999995</v>
          </cell>
          <cell r="U53">
            <v>-1.6042400000000001</v>
          </cell>
          <cell r="V53">
            <v>-2.20044</v>
          </cell>
          <cell r="Y53">
            <v>756.44861797413796</v>
          </cell>
          <cell r="Z53">
            <v>323.15140093965516</v>
          </cell>
          <cell r="AA53">
            <v>5.8046350307273268E-3</v>
          </cell>
          <cell r="AB53">
            <v>5.6192013850216133E-2</v>
          </cell>
          <cell r="AC53">
            <v>4.4746685055616455E-4</v>
          </cell>
          <cell r="AD53">
            <v>4.3317216897983011E-3</v>
          </cell>
          <cell r="AE53">
            <v>3.0272414295271174E-3</v>
          </cell>
          <cell r="AF53">
            <v>0.69885409227850814</v>
          </cell>
          <cell r="AG53">
            <v>7.6231499999999999</v>
          </cell>
          <cell r="AH53">
            <v>0.56247800000000003</v>
          </cell>
          <cell r="AI53">
            <v>-1.5477902499999998</v>
          </cell>
        </row>
        <row r="54">
          <cell r="K54">
            <v>7.2430399999999997</v>
          </cell>
          <cell r="L54">
            <v>7.6894</v>
          </cell>
          <cell r="M54">
            <v>7.9428999999999998</v>
          </cell>
          <cell r="N54">
            <v>7.9944199999999999</v>
          </cell>
          <cell r="O54">
            <v>0.68701999999999996</v>
          </cell>
          <cell r="P54">
            <v>0.50627200000000006</v>
          </cell>
          <cell r="Q54">
            <v>0.47889199999999998</v>
          </cell>
          <cell r="R54">
            <v>0.63066</v>
          </cell>
          <cell r="S54">
            <v>-1.48702</v>
          </cell>
          <cell r="T54">
            <v>-0.90272600000000003</v>
          </cell>
          <cell r="U54">
            <v>-1.6043099999999999</v>
          </cell>
          <cell r="V54">
            <v>-2.2031100000000001</v>
          </cell>
          <cell r="Y54">
            <v>756.51480862068968</v>
          </cell>
          <cell r="Z54">
            <v>324.79147144827584</v>
          </cell>
          <cell r="AA54">
            <v>5.8040617633971416E-3</v>
          </cell>
          <cell r="AB54">
            <v>5.6186464311685787E-2</v>
          </cell>
          <cell r="AC54">
            <v>4.496540898577243E-4</v>
          </cell>
          <cell r="AD54">
            <v>4.3528953519624807E-3</v>
          </cell>
          <cell r="AE54">
            <v>3.0267929838226136E-3</v>
          </cell>
          <cell r="AF54">
            <v>0.69535165426340872</v>
          </cell>
          <cell r="AG54">
            <v>7.7174399999999999</v>
          </cell>
          <cell r="AH54">
            <v>0.57571100000000008</v>
          </cell>
          <cell r="AI54">
            <v>-1.5492915</v>
          </cell>
        </row>
        <row r="55">
          <cell r="K55">
            <v>7.2497499999999997</v>
          </cell>
          <cell r="L55">
            <v>7.68893</v>
          </cell>
          <cell r="M55">
            <v>7.9434500000000003</v>
          </cell>
          <cell r="N55">
            <v>7.99308</v>
          </cell>
          <cell r="O55">
            <v>0.69427099999999997</v>
          </cell>
          <cell r="P55">
            <v>0.48875400000000002</v>
          </cell>
          <cell r="Q55">
            <v>0.466887</v>
          </cell>
          <cell r="R55">
            <v>0.63258899999999996</v>
          </cell>
          <cell r="S55">
            <v>-1.4868600000000001</v>
          </cell>
          <cell r="T55">
            <v>-0.90329499999999996</v>
          </cell>
          <cell r="U55">
            <v>-1.6048</v>
          </cell>
          <cell r="V55">
            <v>-2.2036099999999998</v>
          </cell>
          <cell r="Y55">
            <v>750.79499926724145</v>
          </cell>
          <cell r="Z55">
            <v>324.11354195689654</v>
          </cell>
          <cell r="AA55">
            <v>5.7610729320825022E-3</v>
          </cell>
          <cell r="AB55">
            <v>5.5770309119869334E-2</v>
          </cell>
          <cell r="AC55">
            <v>4.4878519167502307E-4</v>
          </cell>
          <cell r="AD55">
            <v>4.3444839465152279E-3</v>
          </cell>
          <cell r="AE55">
            <v>2.9932275953349131E-3</v>
          </cell>
          <cell r="AF55">
            <v>0.68897195436429759</v>
          </cell>
          <cell r="AG55">
            <v>7.7188024999999998</v>
          </cell>
          <cell r="AH55">
            <v>0.57062524999999997</v>
          </cell>
          <cell r="AI55">
            <v>-1.5496412500000001</v>
          </cell>
        </row>
        <row r="56">
          <cell r="K56">
            <v>8.2361500000000003</v>
          </cell>
          <cell r="L56">
            <v>8.6194199999999999</v>
          </cell>
          <cell r="M56">
            <v>8.8795800000000007</v>
          </cell>
          <cell r="N56">
            <v>8.9535699999999991</v>
          </cell>
          <cell r="O56">
            <v>0.88575499999999996</v>
          </cell>
          <cell r="P56">
            <v>0.686863</v>
          </cell>
          <cell r="Q56">
            <v>0.65444199999999997</v>
          </cell>
          <cell r="R56">
            <v>0.80445500000000003</v>
          </cell>
          <cell r="S56">
            <v>-1.7988</v>
          </cell>
          <cell r="T56">
            <v>-1.18834</v>
          </cell>
          <cell r="U56">
            <v>-1.81734</v>
          </cell>
          <cell r="V56">
            <v>-2.3609900000000001</v>
          </cell>
          <cell r="Y56">
            <v>879.52418991379307</v>
          </cell>
          <cell r="Z56">
            <v>393.02161246551719</v>
          </cell>
          <cell r="AA56">
            <v>6.7518122035769715E-3</v>
          </cell>
          <cell r="AB56">
            <v>6.5361202357957129E-2</v>
          </cell>
          <cell r="AC56">
            <v>5.4443788514838486E-4</v>
          </cell>
          <cell r="AD56">
            <v>5.2704538736532899E-3</v>
          </cell>
          <cell r="AE56">
            <v>3.7976524072943839E-3</v>
          </cell>
          <cell r="AF56">
            <v>0.72055509797337192</v>
          </cell>
          <cell r="AG56">
            <v>8.6721800000000009</v>
          </cell>
          <cell r="AH56">
            <v>0.75787874999999993</v>
          </cell>
          <cell r="AI56">
            <v>-1.7913675</v>
          </cell>
        </row>
        <row r="57">
          <cell r="K57">
            <v>8.23142</v>
          </cell>
          <cell r="L57">
            <v>8.6196000000000002</v>
          </cell>
          <cell r="M57">
            <v>8.8858099999999993</v>
          </cell>
          <cell r="N57">
            <v>8.9534699999999994</v>
          </cell>
          <cell r="O57">
            <v>0.88642900000000002</v>
          </cell>
          <cell r="P57">
            <v>0.68780300000000005</v>
          </cell>
          <cell r="Q57">
            <v>0.65986800000000001</v>
          </cell>
          <cell r="R57">
            <v>0.81697200000000003</v>
          </cell>
          <cell r="S57">
            <v>-1.8670100000000001</v>
          </cell>
          <cell r="T57">
            <v>-1.24309</v>
          </cell>
          <cell r="U57">
            <v>-1.88635</v>
          </cell>
          <cell r="V57">
            <v>-2.4350499999999999</v>
          </cell>
          <cell r="Y57">
            <v>888.50638056034472</v>
          </cell>
          <cell r="Z57">
            <v>393.64168297413789</v>
          </cell>
          <cell r="AA57">
            <v>6.8175193710297713E-3</v>
          </cell>
          <cell r="AB57">
            <v>6.5997283359436318E-2</v>
          </cell>
          <cell r="AC57">
            <v>5.4503733085647357E-4</v>
          </cell>
          <cell r="AD57">
            <v>5.2762568330733161E-3</v>
          </cell>
          <cell r="AE57">
            <v>3.8532239547918725E-3</v>
          </cell>
          <cell r="AF57">
            <v>0.73029499448142765</v>
          </cell>
          <cell r="AG57">
            <v>8.6725749999999984</v>
          </cell>
          <cell r="AH57">
            <v>0.76276800000000011</v>
          </cell>
          <cell r="AI57">
            <v>-1.8578749999999999</v>
          </cell>
        </row>
        <row r="58">
          <cell r="K58">
            <v>8.2248000000000001</v>
          </cell>
          <cell r="L58">
            <v>8.6203699999999994</v>
          </cell>
          <cell r="M58">
            <v>8.8883399999999995</v>
          </cell>
          <cell r="N58">
            <v>8.9554600000000004</v>
          </cell>
          <cell r="O58">
            <v>0.86086200000000002</v>
          </cell>
          <cell r="P58">
            <v>0.68380300000000005</v>
          </cell>
          <cell r="Q58">
            <v>0.65424400000000005</v>
          </cell>
          <cell r="R58">
            <v>0.80262500000000003</v>
          </cell>
          <cell r="S58">
            <v>-1.8682099999999999</v>
          </cell>
          <cell r="T58">
            <v>-1.24271</v>
          </cell>
          <cell r="U58">
            <v>-1.8878299999999999</v>
          </cell>
          <cell r="V58">
            <v>-2.4384199999999998</v>
          </cell>
          <cell r="Y58">
            <v>874.96557120689658</v>
          </cell>
          <cell r="Z58">
            <v>390.51475348275858</v>
          </cell>
          <cell r="AA58">
            <v>6.7147739876127445E-3</v>
          </cell>
          <cell r="AB58">
            <v>6.5002652348622889E-2</v>
          </cell>
          <cell r="AC58">
            <v>5.4080066930880762E-4</v>
          </cell>
          <cell r="AD58">
            <v>5.2352436525538006E-3</v>
          </cell>
          <cell r="AE58">
            <v>3.7664462982167982E-3</v>
          </cell>
          <cell r="AF58">
            <v>0.71944049755535078</v>
          </cell>
          <cell r="AG58">
            <v>8.6722424999999994</v>
          </cell>
          <cell r="AH58">
            <v>0.75038350000000009</v>
          </cell>
          <cell r="AI58">
            <v>-1.8592925</v>
          </cell>
        </row>
        <row r="59">
          <cell r="K59">
            <v>8.2401300000000006</v>
          </cell>
          <cell r="L59">
            <v>8.6283999999999992</v>
          </cell>
          <cell r="M59">
            <v>8.8980300000000003</v>
          </cell>
          <cell r="N59">
            <v>8.9647799999999993</v>
          </cell>
          <cell r="O59">
            <v>0.90016499999999999</v>
          </cell>
          <cell r="P59">
            <v>0.69863799999999998</v>
          </cell>
          <cell r="Q59">
            <v>0.66890700000000003</v>
          </cell>
          <cell r="R59">
            <v>0.82977699999999999</v>
          </cell>
          <cell r="S59">
            <v>-1.87853</v>
          </cell>
          <cell r="T59">
            <v>-1.2464500000000001</v>
          </cell>
          <cell r="U59">
            <v>-1.8951199999999999</v>
          </cell>
          <cell r="V59">
            <v>-2.46014</v>
          </cell>
          <cell r="Y59">
            <v>882.30676185344828</v>
          </cell>
          <cell r="Z59">
            <v>394.00282399137927</v>
          </cell>
          <cell r="AA59">
            <v>6.7718273572634656E-3</v>
          </cell>
          <cell r="AB59">
            <v>6.5554959896064524E-2</v>
          </cell>
          <cell r="AC59">
            <v>5.4568867925316165E-4</v>
          </cell>
          <cell r="AD59">
            <v>5.2825622386559693E-3</v>
          </cell>
          <cell r="AE59">
            <v>3.8145516259415319E-3</v>
          </cell>
          <cell r="AF59">
            <v>0.72210254297203702</v>
          </cell>
          <cell r="AG59">
            <v>8.682834999999999</v>
          </cell>
          <cell r="AH59">
            <v>0.77437175000000003</v>
          </cell>
          <cell r="AI59">
            <v>-1.8700599999999998</v>
          </cell>
        </row>
        <row r="60">
          <cell r="K60">
            <v>8.2349999999999994</v>
          </cell>
          <cell r="L60">
            <v>8.6249400000000005</v>
          </cell>
          <cell r="M60">
            <v>8.8905600000000007</v>
          </cell>
          <cell r="N60">
            <v>8.9609500000000004</v>
          </cell>
          <cell r="O60">
            <v>0.90730999999999995</v>
          </cell>
          <cell r="P60">
            <v>0.70326500000000003</v>
          </cell>
          <cell r="Q60">
            <v>0.675732</v>
          </cell>
          <cell r="R60">
            <v>0.84384499999999996</v>
          </cell>
          <cell r="S60">
            <v>-1.88913</v>
          </cell>
          <cell r="T60">
            <v>-1.25061</v>
          </cell>
          <cell r="U60">
            <v>-1.9046799999999999</v>
          </cell>
          <cell r="V60">
            <v>-2.4740600000000001</v>
          </cell>
          <cell r="Y60">
            <v>886.20495249999999</v>
          </cell>
          <cell r="Z60">
            <v>394.87289449999997</v>
          </cell>
          <cell r="AA60">
            <v>6.799030404157848E-3</v>
          </cell>
          <cell r="AB60">
            <v>6.5818300137055641E-2</v>
          </cell>
          <cell r="AC60">
            <v>5.4667532684807816E-4</v>
          </cell>
          <cell r="AD60">
            <v>5.292113522246642E-3</v>
          </cell>
          <cell r="AE60">
            <v>3.8375597954684675E-3</v>
          </cell>
          <cell r="AF60">
            <v>0.72514691518547059</v>
          </cell>
          <cell r="AG60">
            <v>8.6778624999999998</v>
          </cell>
          <cell r="AH60">
            <v>0.78253799999999996</v>
          </cell>
          <cell r="AI60">
            <v>-1.8796200000000001</v>
          </cell>
        </row>
        <row r="61">
          <cell r="K61">
            <v>8.2247599999999998</v>
          </cell>
          <cell r="L61">
            <v>8.6219199999999994</v>
          </cell>
          <cell r="M61">
            <v>8.8906799999999997</v>
          </cell>
          <cell r="N61">
            <v>8.9588099999999997</v>
          </cell>
          <cell r="O61">
            <v>0.87937900000000002</v>
          </cell>
          <cell r="P61">
            <v>0.69257000000000002</v>
          </cell>
          <cell r="Q61">
            <v>0.66450500000000001</v>
          </cell>
          <cell r="R61">
            <v>0.827125</v>
          </cell>
          <cell r="S61">
            <v>-1.8888199999999999</v>
          </cell>
          <cell r="T61">
            <v>-1.2507699999999999</v>
          </cell>
          <cell r="U61">
            <v>-1.90768</v>
          </cell>
          <cell r="V61">
            <v>-2.4738600000000002</v>
          </cell>
          <cell r="Y61">
            <v>879.09314314655171</v>
          </cell>
          <cell r="Z61">
            <v>392.22396500862067</v>
          </cell>
          <cell r="AA61">
            <v>6.7406530465606686E-3</v>
          </cell>
          <cell r="AB61">
            <v>6.5253175668544702E-2</v>
          </cell>
          <cell r="AC61">
            <v>5.4270090572494461E-4</v>
          </cell>
          <cell r="AD61">
            <v>5.2536389711998512E-3</v>
          </cell>
          <cell r="AE61">
            <v>3.7882413596513741E-3</v>
          </cell>
          <cell r="AF61">
            <v>0.72106998223865337</v>
          </cell>
          <cell r="AG61">
            <v>8.6740424999999988</v>
          </cell>
          <cell r="AH61">
            <v>0.76589475000000007</v>
          </cell>
          <cell r="AI61">
            <v>-1.8802825000000001</v>
          </cell>
        </row>
        <row r="62">
          <cell r="K62">
            <v>8.2318899999999999</v>
          </cell>
          <cell r="L62">
            <v>8.6200500000000009</v>
          </cell>
          <cell r="M62">
            <v>8.8884100000000004</v>
          </cell>
          <cell r="N62">
            <v>8.9579400000000007</v>
          </cell>
          <cell r="O62">
            <v>0.88868199999999997</v>
          </cell>
          <cell r="P62">
            <v>0.68157500000000004</v>
          </cell>
          <cell r="Q62">
            <v>0.65535100000000002</v>
          </cell>
          <cell r="R62">
            <v>0.829009</v>
          </cell>
          <cell r="S62">
            <v>-1.88957</v>
          </cell>
          <cell r="T62">
            <v>-1.25125</v>
          </cell>
          <cell r="U62">
            <v>-1.9087700000000001</v>
          </cell>
          <cell r="V62">
            <v>-2.4744799999999998</v>
          </cell>
          <cell r="Y62">
            <v>878.98233379310352</v>
          </cell>
          <cell r="Z62">
            <v>393.53603551724137</v>
          </cell>
          <cell r="AA62">
            <v>6.7444419568603083E-3</v>
          </cell>
          <cell r="AB62">
            <v>6.5289854374252734E-2</v>
          </cell>
          <cell r="AC62">
            <v>5.4489110789495592E-4</v>
          </cell>
          <cell r="AD62">
            <v>5.2748413155368429E-3</v>
          </cell>
          <cell r="AE62">
            <v>3.7914358550681475E-3</v>
          </cell>
          <cell r="AF62">
            <v>0.71877723485266154</v>
          </cell>
          <cell r="AG62">
            <v>8.6745725</v>
          </cell>
          <cell r="AH62">
            <v>0.76365425000000009</v>
          </cell>
          <cell r="AI62">
            <v>-1.8810175</v>
          </cell>
        </row>
        <row r="63">
          <cell r="K63">
            <v>8.2202800000000007</v>
          </cell>
          <cell r="L63">
            <v>8.6198499999999996</v>
          </cell>
          <cell r="M63">
            <v>8.8875200000000003</v>
          </cell>
          <cell r="N63">
            <v>8.9527199999999993</v>
          </cell>
          <cell r="O63">
            <v>0.86472700000000002</v>
          </cell>
          <cell r="P63">
            <v>0.67304200000000003</v>
          </cell>
          <cell r="Q63">
            <v>0.64129700000000001</v>
          </cell>
          <cell r="R63">
            <v>0.81407600000000002</v>
          </cell>
          <cell r="S63">
            <v>-1.88981</v>
          </cell>
          <cell r="T63">
            <v>-1.25058</v>
          </cell>
          <cell r="U63">
            <v>-1.9107799999999999</v>
          </cell>
          <cell r="V63">
            <v>-2.4737100000000001</v>
          </cell>
          <cell r="Y63">
            <v>881.42152443965517</v>
          </cell>
          <cell r="Z63">
            <v>392.38310602586205</v>
          </cell>
          <cell r="AA63">
            <v>6.7614232516568203E-3</v>
          </cell>
          <cell r="AB63">
            <v>6.5454242513618782E-2</v>
          </cell>
          <cell r="AC63">
            <v>5.4315541185376303E-4</v>
          </cell>
          <cell r="AD63">
            <v>5.2580388369192939E-3</v>
          </cell>
          <cell r="AE63">
            <v>3.805764097470808E-3</v>
          </cell>
          <cell r="AF63">
            <v>0.72379916077238804</v>
          </cell>
          <cell r="AG63">
            <v>8.6700925000000009</v>
          </cell>
          <cell r="AH63">
            <v>0.74828549999999994</v>
          </cell>
          <cell r="AI63">
            <v>-1.8812199999999999</v>
          </cell>
        </row>
        <row r="64">
          <cell r="K64">
            <v>8.2344799999999996</v>
          </cell>
          <cell r="L64">
            <v>8.6246100000000006</v>
          </cell>
          <cell r="M64">
            <v>8.8957300000000004</v>
          </cell>
          <cell r="N64">
            <v>8.9618900000000004</v>
          </cell>
          <cell r="O64">
            <v>0.86719999999999997</v>
          </cell>
          <cell r="P64">
            <v>0.674396</v>
          </cell>
          <cell r="Q64">
            <v>0.64943399999999996</v>
          </cell>
          <cell r="R64">
            <v>0.81837099999999996</v>
          </cell>
          <cell r="S64">
            <v>-1.8910400000000001</v>
          </cell>
          <cell r="T64">
            <v>-1.2508699999999999</v>
          </cell>
          <cell r="U64">
            <v>-1.9135800000000001</v>
          </cell>
          <cell r="V64">
            <v>-2.4747300000000001</v>
          </cell>
          <cell r="Y64">
            <v>870.34471508620686</v>
          </cell>
          <cell r="Z64">
            <v>389.37017653448277</v>
          </cell>
          <cell r="AA64">
            <v>6.672034920408583E-3</v>
          </cell>
          <cell r="AB64">
            <v>6.4588915008795572E-2</v>
          </cell>
          <cell r="AC64">
            <v>5.386281385386238E-4</v>
          </cell>
          <cell r="AD64">
            <v>5.2142123769469877E-3</v>
          </cell>
          <cell r="AE64">
            <v>3.7305438281541284E-3</v>
          </cell>
          <cell r="AF64">
            <v>0.71545682424589441</v>
          </cell>
          <cell r="AG64">
            <v>8.6791775000000015</v>
          </cell>
          <cell r="AH64">
            <v>0.75235025</v>
          </cell>
          <cell r="AI64">
            <v>-1.8825550000000002</v>
          </cell>
        </row>
        <row r="65">
          <cell r="K65">
            <v>8.2323900000000005</v>
          </cell>
          <cell r="L65">
            <v>8.6193200000000001</v>
          </cell>
          <cell r="M65">
            <v>8.8951700000000002</v>
          </cell>
          <cell r="N65">
            <v>8.9603599999999997</v>
          </cell>
          <cell r="O65">
            <v>0.88319199999999998</v>
          </cell>
          <cell r="P65">
            <v>0.68987799999999999</v>
          </cell>
          <cell r="Q65">
            <v>0.65900700000000001</v>
          </cell>
          <cell r="R65">
            <v>0.82277699999999998</v>
          </cell>
          <cell r="S65">
            <v>-1.8915500000000001</v>
          </cell>
          <cell r="T65">
            <v>-1.2507999999999999</v>
          </cell>
          <cell r="U65">
            <v>-1.91309</v>
          </cell>
          <cell r="V65">
            <v>-2.4763700000000002</v>
          </cell>
          <cell r="Y65">
            <v>878.78790573275865</v>
          </cell>
          <cell r="Z65">
            <v>392.18424704310343</v>
          </cell>
          <cell r="AA65">
            <v>6.737059939697517E-3</v>
          </cell>
          <cell r="AB65">
            <v>6.5218392446248954E-2</v>
          </cell>
          <cell r="AC65">
            <v>5.4254507406875012E-4</v>
          </cell>
          <cell r="AD65">
            <v>5.2521304362899328E-3</v>
          </cell>
          <cell r="AE65">
            <v>3.7852127787714727E-3</v>
          </cell>
          <cell r="AF65">
            <v>0.72070045188087895</v>
          </cell>
          <cell r="AG65">
            <v>8.6768099999999997</v>
          </cell>
          <cell r="AH65">
            <v>0.76371349999999993</v>
          </cell>
          <cell r="AI65">
            <v>-1.8829525</v>
          </cell>
        </row>
        <row r="66">
          <cell r="K66">
            <v>9.2439699999999991</v>
          </cell>
          <cell r="L66">
            <v>9.5489899999999999</v>
          </cell>
          <cell r="M66">
            <v>9.8554499999999994</v>
          </cell>
          <cell r="N66">
            <v>9.93309</v>
          </cell>
          <cell r="O66">
            <v>1.08002</v>
          </cell>
          <cell r="P66">
            <v>0.88275300000000001</v>
          </cell>
          <cell r="Q66">
            <v>0.85420600000000002</v>
          </cell>
          <cell r="R66">
            <v>1.00928</v>
          </cell>
          <cell r="S66">
            <v>-2.3128799999999998</v>
          </cell>
          <cell r="T66">
            <v>-1.6600600000000001</v>
          </cell>
          <cell r="U66">
            <v>-2.26701</v>
          </cell>
          <cell r="V66">
            <v>-2.6883400000000002</v>
          </cell>
          <cell r="Y66">
            <v>1012.7430963793104</v>
          </cell>
          <cell r="Z66">
            <v>474.31231755172411</v>
          </cell>
          <cell r="AA66">
            <v>7.7684836496819884E-3</v>
          </cell>
          <cell r="AB66">
            <v>7.5203133104375486E-2</v>
          </cell>
          <cell r="AC66">
            <v>6.5653926897942915E-4</v>
          </cell>
          <cell r="AD66">
            <v>6.3556560404591398E-3</v>
          </cell>
          <cell r="AE66">
            <v>4.6869364467027313E-3</v>
          </cell>
          <cell r="AF66">
            <v>0.73744337592632558</v>
          </cell>
          <cell r="AG66">
            <v>9.6453749999999996</v>
          </cell>
          <cell r="AH66">
            <v>0.95656474999999996</v>
          </cell>
          <cell r="AI66">
            <v>-2.2320725000000001</v>
          </cell>
        </row>
        <row r="67">
          <cell r="K67">
            <v>9.2596900000000009</v>
          </cell>
          <cell r="L67">
            <v>9.5560899999999993</v>
          </cell>
          <cell r="M67">
            <v>9.8657800000000009</v>
          </cell>
          <cell r="N67">
            <v>-0.65287399999999995</v>
          </cell>
          <cell r="O67">
            <v>1.12731</v>
          </cell>
          <cell r="P67">
            <v>0.91907000000000005</v>
          </cell>
          <cell r="Q67">
            <v>0.89865200000000001</v>
          </cell>
          <cell r="R67">
            <v>1.0659700000000001</v>
          </cell>
          <cell r="S67">
            <v>-2.32931</v>
          </cell>
          <cell r="T67">
            <v>-1.6682999999999999</v>
          </cell>
          <cell r="U67">
            <v>-2.3058999999999998</v>
          </cell>
          <cell r="V67">
            <v>-2.7206899999999998</v>
          </cell>
          <cell r="Y67">
            <v>1017.0792870258621</v>
          </cell>
          <cell r="Z67">
            <v>472.72938806034483</v>
          </cell>
          <cell r="AA67">
            <v>7.8047651090182024E-3</v>
          </cell>
          <cell r="AB67">
            <v>7.5554357299304958E-2</v>
          </cell>
          <cell r="AC67">
            <v>6.5460145840624871E-4</v>
          </cell>
          <cell r="AD67">
            <v>6.3368969836035691E-3</v>
          </cell>
          <cell r="AE67">
            <v>4.71980913345305E-3</v>
          </cell>
          <cell r="AF67">
            <v>0.74481392796274581</v>
          </cell>
          <cell r="AG67">
            <v>9.5605200000000004</v>
          </cell>
          <cell r="AH67">
            <v>1.0027505000000001</v>
          </cell>
          <cell r="AI67">
            <v>-2.2560499999999997</v>
          </cell>
        </row>
        <row r="68">
          <cell r="K68">
            <v>9.2726000000000006</v>
          </cell>
          <cell r="L68">
            <v>9.5626999999999995</v>
          </cell>
          <cell r="M68">
            <v>9.8587900000000008</v>
          </cell>
          <cell r="N68">
            <v>0.12844800000000001</v>
          </cell>
          <cell r="O68">
            <v>1.0840099999999999</v>
          </cell>
          <cell r="P68">
            <v>0.87760199999999999</v>
          </cell>
          <cell r="Q68">
            <v>0.85312900000000003</v>
          </cell>
          <cell r="R68">
            <v>1.0347500000000001</v>
          </cell>
          <cell r="S68">
            <v>-2.33188</v>
          </cell>
          <cell r="T68">
            <v>-1.6692100000000001</v>
          </cell>
          <cell r="U68">
            <v>-2.30613</v>
          </cell>
          <cell r="V68">
            <v>-2.7222400000000002</v>
          </cell>
          <cell r="Y68">
            <v>1008.1554776724138</v>
          </cell>
          <cell r="Z68">
            <v>472.44345856896553</v>
          </cell>
          <cell r="AA68">
            <v>7.7378878840043434E-3</v>
          </cell>
          <cell r="AB68">
            <v>7.4906949506334392E-2</v>
          </cell>
          <cell r="AC68">
            <v>6.5434094724256412E-4</v>
          </cell>
          <cell r="AD68">
            <v>6.3343750943133017E-3</v>
          </cell>
          <cell r="AE68">
            <v>4.6592748471236886E-3</v>
          </cell>
          <cell r="AF68">
            <v>0.73555398563412544</v>
          </cell>
          <cell r="AG68">
            <v>9.5646966666666682</v>
          </cell>
          <cell r="AH68">
            <v>0.96237274999999989</v>
          </cell>
          <cell r="AI68">
            <v>-2.2573650000000001</v>
          </cell>
        </row>
        <row r="69">
          <cell r="K69">
            <v>9.2551699999999997</v>
          </cell>
          <cell r="L69">
            <v>9.56081</v>
          </cell>
          <cell r="M69">
            <v>9.8596500000000002</v>
          </cell>
          <cell r="N69">
            <v>9.9393799999999999</v>
          </cell>
          <cell r="O69">
            <v>1.1081799999999999</v>
          </cell>
          <cell r="P69">
            <v>0.90343300000000004</v>
          </cell>
          <cell r="Q69">
            <v>0.87475700000000001</v>
          </cell>
          <cell r="R69">
            <v>1.05176</v>
          </cell>
          <cell r="S69">
            <v>-2.3332899999999999</v>
          </cell>
          <cell r="T69">
            <v>-1.67038</v>
          </cell>
          <cell r="U69">
            <v>-2.3056199999999998</v>
          </cell>
          <cell r="V69">
            <v>-2.7231700000000001</v>
          </cell>
          <cell r="Y69">
            <v>1020.0416683189654</v>
          </cell>
          <cell r="Z69">
            <v>476.65552907758621</v>
          </cell>
          <cell r="AA69">
            <v>7.825498918116059E-3</v>
          </cell>
          <cell r="AB69">
            <v>7.5755071811384883E-2</v>
          </cell>
          <cell r="AC69">
            <v>6.598695642114254E-4</v>
          </cell>
          <cell r="AD69">
            <v>6.3878951036924047E-3</v>
          </cell>
          <cell r="AE69">
            <v>4.7386292870136675E-3</v>
          </cell>
          <cell r="AF69">
            <v>0.74181388549642746</v>
          </cell>
          <cell r="AG69">
            <v>9.6537524999999995</v>
          </cell>
          <cell r="AH69">
            <v>0.98453250000000003</v>
          </cell>
          <cell r="AI69">
            <v>-2.2581149999999997</v>
          </cell>
        </row>
        <row r="70">
          <cell r="K70">
            <v>9.2524800000000003</v>
          </cell>
          <cell r="L70">
            <v>9.5589300000000001</v>
          </cell>
          <cell r="M70">
            <v>9.8603299999999994</v>
          </cell>
          <cell r="N70">
            <v>9.9421700000000008</v>
          </cell>
          <cell r="O70">
            <v>1.12188</v>
          </cell>
          <cell r="P70">
            <v>0.91458799999999996</v>
          </cell>
          <cell r="Q70">
            <v>0.89343300000000003</v>
          </cell>
          <cell r="R70">
            <v>1.07439</v>
          </cell>
          <cell r="S70">
            <v>-2.3340299999999998</v>
          </cell>
          <cell r="T70">
            <v>-1.6700900000000001</v>
          </cell>
          <cell r="U70">
            <v>-2.3053900000000001</v>
          </cell>
          <cell r="V70">
            <v>-2.7240799999999998</v>
          </cell>
          <cell r="Y70">
            <v>1027.5178589655172</v>
          </cell>
          <cell r="Z70">
            <v>479.85959958620685</v>
          </cell>
          <cell r="AA70">
            <v>7.8864349369320002E-3</v>
          </cell>
          <cell r="AB70">
            <v>7.6344965507570181E-2</v>
          </cell>
          <cell r="AC70">
            <v>6.6460694092704774E-4</v>
          </cell>
          <cell r="AD70">
            <v>6.4337554784806173E-3</v>
          </cell>
          <cell r="AE70">
            <v>4.7940854180778944E-3</v>
          </cell>
          <cell r="AF70">
            <v>0.74514572928874445</v>
          </cell>
          <cell r="AG70">
            <v>9.653477500000001</v>
          </cell>
          <cell r="AH70">
            <v>1.0010727500000001</v>
          </cell>
          <cell r="AI70">
            <v>-2.2583975000000001</v>
          </cell>
        </row>
        <row r="71">
          <cell r="K71">
            <v>9.2611500000000007</v>
          </cell>
          <cell r="L71">
            <v>9.5635100000000008</v>
          </cell>
          <cell r="M71">
            <v>9.8655600000000003</v>
          </cell>
          <cell r="N71">
            <v>9.9446100000000008</v>
          </cell>
          <cell r="O71">
            <v>1.0961399999999999</v>
          </cell>
          <cell r="P71">
            <v>0.89381299999999997</v>
          </cell>
          <cell r="Q71">
            <v>0.86664699999999995</v>
          </cell>
          <cell r="R71">
            <v>1.0407200000000001</v>
          </cell>
          <cell r="S71">
            <v>-2.3342200000000002</v>
          </cell>
          <cell r="T71">
            <v>-1.6695199999999999</v>
          </cell>
          <cell r="U71">
            <v>-2.3078500000000002</v>
          </cell>
          <cell r="V71">
            <v>-2.7242000000000002</v>
          </cell>
          <cell r="Y71">
            <v>1008.814049612069</v>
          </cell>
          <cell r="Z71">
            <v>471.66367009482758</v>
          </cell>
          <cell r="AA71">
            <v>7.7398432868203363E-3</v>
          </cell>
          <cell r="AB71">
            <v>7.4925878865637327E-2</v>
          </cell>
          <cell r="AC71">
            <v>6.5299944310200217E-4</v>
          </cell>
          <cell r="AD71">
            <v>6.3213886069893718E-3</v>
          </cell>
          <cell r="AE71">
            <v>4.6610410916439896E-3</v>
          </cell>
          <cell r="AF71">
            <v>0.73734449524119028</v>
          </cell>
          <cell r="AG71">
            <v>9.658707500000002</v>
          </cell>
          <cell r="AH71">
            <v>0.97432999999999992</v>
          </cell>
          <cell r="AI71">
            <v>-2.2589475000000001</v>
          </cell>
        </row>
        <row r="72">
          <cell r="K72">
            <v>9.2571899999999996</v>
          </cell>
          <cell r="L72">
            <v>9.5612300000000001</v>
          </cell>
          <cell r="M72">
            <v>9.8628400000000003</v>
          </cell>
          <cell r="N72">
            <v>9.9422700000000006</v>
          </cell>
          <cell r="O72">
            <v>1.0545599999999999</v>
          </cell>
          <cell r="P72">
            <v>0.85363900000000004</v>
          </cell>
          <cell r="Q72">
            <v>0.82490799999999997</v>
          </cell>
          <cell r="R72">
            <v>1.0088900000000001</v>
          </cell>
          <cell r="S72">
            <v>-2.3338100000000002</v>
          </cell>
          <cell r="T72">
            <v>-1.6692899999999999</v>
          </cell>
          <cell r="U72">
            <v>-2.3077800000000002</v>
          </cell>
          <cell r="V72">
            <v>-2.7212399999999999</v>
          </cell>
          <cell r="Y72">
            <v>995.01624025862077</v>
          </cell>
          <cell r="Z72">
            <v>465.48074060344828</v>
          </cell>
          <cell r="AA72">
            <v>7.6292074994169764E-3</v>
          </cell>
          <cell r="AB72">
            <v>7.3854864466766465E-2</v>
          </cell>
          <cell r="AC72">
            <v>6.4403625204252353E-4</v>
          </cell>
          <cell r="AD72">
            <v>6.2346200584949031E-3</v>
          </cell>
          <cell r="AE72">
            <v>4.5614594782979832E-3</v>
          </cell>
          <cell r="AF72">
            <v>0.73163391441677728</v>
          </cell>
          <cell r="AG72">
            <v>9.6558825000000006</v>
          </cell>
          <cell r="AH72">
            <v>0.93549925</v>
          </cell>
          <cell r="AI72">
            <v>-2.2580299999999998</v>
          </cell>
        </row>
        <row r="73">
          <cell r="K73">
            <v>9.2614900000000002</v>
          </cell>
          <cell r="L73">
            <v>9.5674799999999998</v>
          </cell>
          <cell r="M73">
            <v>9.8691999999999993</v>
          </cell>
          <cell r="N73">
            <v>9.9496500000000001</v>
          </cell>
          <cell r="O73">
            <v>1.10267</v>
          </cell>
          <cell r="P73">
            <v>0.901254</v>
          </cell>
          <cell r="Q73">
            <v>0.87006300000000003</v>
          </cell>
          <cell r="R73">
            <v>1.0516700000000001</v>
          </cell>
          <cell r="S73">
            <v>-2.33894</v>
          </cell>
          <cell r="T73">
            <v>-1.6697</v>
          </cell>
          <cell r="U73">
            <v>-2.3086500000000001</v>
          </cell>
          <cell r="V73">
            <v>-2.7233700000000001</v>
          </cell>
          <cell r="Y73">
            <v>1011.6664309051724</v>
          </cell>
          <cell r="Z73">
            <v>471.96681111206897</v>
          </cell>
          <cell r="AA73">
            <v>7.7617105939793195E-3</v>
          </cell>
          <cell r="AB73">
            <v>7.5137566253430002E-2</v>
          </cell>
          <cell r="AC73">
            <v>6.5341771626550567E-4</v>
          </cell>
          <cell r="AD73">
            <v>6.3254377179623004E-3</v>
          </cell>
          <cell r="AE73">
            <v>4.6808082311935147E-3</v>
          </cell>
          <cell r="AF73">
            <v>0.73999752110458017</v>
          </cell>
          <cell r="AG73">
            <v>9.661954999999999</v>
          </cell>
          <cell r="AH73">
            <v>0.98141425000000004</v>
          </cell>
          <cell r="AI73">
            <v>-2.2601649999999998</v>
          </cell>
        </row>
        <row r="74">
          <cell r="K74">
            <v>9.2589100000000002</v>
          </cell>
          <cell r="L74">
            <v>9.5608500000000003</v>
          </cell>
          <cell r="M74">
            <v>9.8678299999999997</v>
          </cell>
          <cell r="N74">
            <v>9.9502199999999998</v>
          </cell>
          <cell r="O74">
            <v>1.0973999999999999</v>
          </cell>
          <cell r="P74">
            <v>0.89286100000000002</v>
          </cell>
          <cell r="Q74">
            <v>0.86410699999999996</v>
          </cell>
          <cell r="R74">
            <v>1.04545</v>
          </cell>
          <cell r="S74">
            <v>-2.3397299999999999</v>
          </cell>
          <cell r="T74">
            <v>-1.6698</v>
          </cell>
          <cell r="U74">
            <v>-2.31054</v>
          </cell>
          <cell r="V74">
            <v>-2.7202600000000001</v>
          </cell>
          <cell r="Y74">
            <v>1012.6026215517242</v>
          </cell>
          <cell r="Z74">
            <v>473.18588162068966</v>
          </cell>
          <cell r="AA74">
            <v>7.7732994389193228E-3</v>
          </cell>
          <cell r="AB74">
            <v>7.5249752554882116E-2</v>
          </cell>
          <cell r="AC74">
            <v>6.5547701600987085E-4</v>
          </cell>
          <cell r="AD74">
            <v>6.3453728558554778E-3</v>
          </cell>
          <cell r="AE74">
            <v>4.6912953660524122E-3</v>
          </cell>
          <cell r="AF74">
            <v>0.73932540650047207</v>
          </cell>
          <cell r="AG74">
            <v>9.6594525000000004</v>
          </cell>
          <cell r="AH74">
            <v>0.97495449999999995</v>
          </cell>
          <cell r="AI74">
            <v>-2.2600824999999998</v>
          </cell>
        </row>
        <row r="75">
          <cell r="K75">
            <v>9.2656899999999993</v>
          </cell>
          <cell r="L75">
            <v>9.5665700000000005</v>
          </cell>
          <cell r="M75">
            <v>9.8733599999999999</v>
          </cell>
          <cell r="N75">
            <v>9.9463000000000008</v>
          </cell>
          <cell r="O75">
            <v>1.0887199999999999</v>
          </cell>
          <cell r="P75">
            <v>0.86562600000000001</v>
          </cell>
          <cell r="Q75">
            <v>0.84327600000000003</v>
          </cell>
          <cell r="R75">
            <v>1.0403199999999999</v>
          </cell>
          <cell r="S75">
            <v>-2.3393299999999999</v>
          </cell>
          <cell r="T75">
            <v>-1.66947</v>
          </cell>
          <cell r="U75">
            <v>-2.3100900000000002</v>
          </cell>
          <cell r="V75">
            <v>-2.7185899999999998</v>
          </cell>
          <cell r="Y75">
            <v>998.58881219827583</v>
          </cell>
          <cell r="Z75">
            <v>467.89295212931034</v>
          </cell>
          <cell r="AA75">
            <v>7.6629622841227416E-3</v>
          </cell>
          <cell r="AB75">
            <v>7.4181629081536707E-2</v>
          </cell>
          <cell r="AC75">
            <v>6.4791171853016433E-4</v>
          </cell>
          <cell r="AD75">
            <v>6.2721366750257924E-3</v>
          </cell>
          <cell r="AE75">
            <v>4.5917656271247005E-3</v>
          </cell>
          <cell r="AF75">
            <v>0.73208953583681569</v>
          </cell>
          <cell r="AG75">
            <v>9.6629799999999992</v>
          </cell>
          <cell r="AH75">
            <v>0.95948549999999999</v>
          </cell>
          <cell r="AI75">
            <v>-2.2593699999999997</v>
          </cell>
        </row>
        <row r="76">
          <cell r="K76">
            <v>10.2928</v>
          </cell>
          <cell r="L76">
            <v>10.5037</v>
          </cell>
          <cell r="M76">
            <v>10.813000000000001</v>
          </cell>
          <cell r="N76">
            <v>10.9146</v>
          </cell>
          <cell r="O76">
            <v>1.3135300000000001</v>
          </cell>
          <cell r="P76">
            <v>1.1125499999999999</v>
          </cell>
          <cell r="Q76">
            <v>1.0906499999999999</v>
          </cell>
          <cell r="R76">
            <v>1.2745899999999999</v>
          </cell>
          <cell r="S76">
            <v>-2.8243399999999999</v>
          </cell>
          <cell r="T76">
            <v>-2.1400999999999999</v>
          </cell>
          <cell r="U76">
            <v>-2.8107500000000001</v>
          </cell>
          <cell r="V76">
            <v>-2.9093100000000001</v>
          </cell>
          <cell r="Y76">
            <v>1160.1550028448275</v>
          </cell>
          <cell r="Z76">
            <v>571.28302263793103</v>
          </cell>
          <cell r="AA76">
            <v>8.9034814558038664E-3</v>
          </cell>
          <cell r="AB76">
            <v>8.6190527161702474E-2</v>
          </cell>
          <cell r="AC76">
            <v>7.9114210547120425E-4</v>
          </cell>
          <cell r="AD76">
            <v>7.658684467291425E-3</v>
          </cell>
          <cell r="AE76">
            <v>5.7507497388435457E-3</v>
          </cell>
          <cell r="AF76">
            <v>0.75087957512856762</v>
          </cell>
          <cell r="AG76">
            <v>10.631025000000001</v>
          </cell>
          <cell r="AH76">
            <v>1.19783</v>
          </cell>
          <cell r="AI76">
            <v>-2.671125</v>
          </cell>
        </row>
        <row r="77">
          <cell r="K77">
            <v>10.295</v>
          </cell>
          <cell r="L77">
            <v>10.5092</v>
          </cell>
          <cell r="M77">
            <v>10.827400000000001</v>
          </cell>
          <cell r="N77">
            <v>10.925700000000001</v>
          </cell>
          <cell r="O77">
            <v>1.30372</v>
          </cell>
          <cell r="P77">
            <v>1.1098699999999999</v>
          </cell>
          <cell r="Q77">
            <v>1.09162</v>
          </cell>
          <cell r="R77">
            <v>1.2631399999999999</v>
          </cell>
          <cell r="S77">
            <v>-2.8255699999999999</v>
          </cell>
          <cell r="T77">
            <v>-2.1401699999999999</v>
          </cell>
          <cell r="U77">
            <v>-2.8162199999999999</v>
          </cell>
          <cell r="V77">
            <v>-2.9091100000000001</v>
          </cell>
          <cell r="Y77">
            <v>1149.5511934913793</v>
          </cell>
          <cell r="Z77">
            <v>568.17409314655174</v>
          </cell>
          <cell r="AA77">
            <v>8.8189299683303114E-3</v>
          </cell>
          <cell r="AB77">
            <v>8.5372022926721303E-2</v>
          </cell>
          <cell r="AC77">
            <v>7.8655363806575816E-4</v>
          </cell>
          <cell r="AD77">
            <v>7.6142656153509987E-3</v>
          </cell>
          <cell r="AE77">
            <v>5.6690269479769285E-3</v>
          </cell>
          <cell r="AF77">
            <v>0.74452708039862625</v>
          </cell>
          <cell r="AG77">
            <v>10.639325000000001</v>
          </cell>
          <cell r="AH77">
            <v>1.1920875</v>
          </cell>
          <cell r="AI77">
            <v>-2.6727675</v>
          </cell>
        </row>
        <row r="78">
          <cell r="K78">
            <v>10.2959</v>
          </cell>
          <cell r="L78">
            <v>10.507999999999999</v>
          </cell>
          <cell r="M78">
            <v>10.823499999999999</v>
          </cell>
          <cell r="N78">
            <v>10.921900000000001</v>
          </cell>
          <cell r="O78">
            <v>1.2859100000000001</v>
          </cell>
          <cell r="P78">
            <v>1.09558</v>
          </cell>
          <cell r="Q78">
            <v>1.0782099999999999</v>
          </cell>
          <cell r="R78">
            <v>1.2581500000000001</v>
          </cell>
          <cell r="S78">
            <v>-2.8285</v>
          </cell>
          <cell r="T78">
            <v>-2.1406100000000001</v>
          </cell>
          <cell r="U78">
            <v>-2.8237800000000002</v>
          </cell>
          <cell r="V78">
            <v>-2.9102299999999999</v>
          </cell>
          <cell r="Y78">
            <v>1149.8873841379311</v>
          </cell>
          <cell r="Z78">
            <v>569.85516365517242</v>
          </cell>
          <cell r="AA78">
            <v>8.8199047578865087E-3</v>
          </cell>
          <cell r="AB78">
            <v>8.5381459418068809E-2</v>
          </cell>
          <cell r="AC78">
            <v>7.8873736215562902E-4</v>
          </cell>
          <cell r="AD78">
            <v>7.635405248360397E-3</v>
          </cell>
          <cell r="AE78">
            <v>5.6699669023112624E-3</v>
          </cell>
          <cell r="AF78">
            <v>0.74258886305069571</v>
          </cell>
          <cell r="AG78">
            <v>10.637325000000001</v>
          </cell>
          <cell r="AH78">
            <v>1.1794625000000001</v>
          </cell>
          <cell r="AI78">
            <v>-2.67578</v>
          </cell>
        </row>
        <row r="79">
          <cell r="K79">
            <v>10.299300000000001</v>
          </cell>
          <cell r="L79">
            <v>10.5106</v>
          </cell>
          <cell r="M79">
            <v>10.8307</v>
          </cell>
          <cell r="N79">
            <v>-1.4385399999999999</v>
          </cell>
          <cell r="O79">
            <v>1.31349</v>
          </cell>
          <cell r="P79">
            <v>1.12602</v>
          </cell>
          <cell r="Q79">
            <v>1.1101700000000001</v>
          </cell>
          <cell r="R79">
            <v>1.2759799999999999</v>
          </cell>
          <cell r="S79">
            <v>-2.8308499999999999</v>
          </cell>
          <cell r="T79">
            <v>-2.1397499999999998</v>
          </cell>
          <cell r="U79">
            <v>-2.8235899999999998</v>
          </cell>
          <cell r="V79">
            <v>-2.9130199999999999</v>
          </cell>
          <cell r="Y79">
            <v>1154.1135747844826</v>
          </cell>
          <cell r="Z79">
            <v>568.93923416379312</v>
          </cell>
          <cell r="AA79">
            <v>8.8488796102904003E-3</v>
          </cell>
          <cell r="AB79">
            <v>8.5661951696906102E-2</v>
          </cell>
          <cell r="AC79">
            <v>7.8716352271947568E-4</v>
          </cell>
          <cell r="AD79">
            <v>7.6201696294237722E-3</v>
          </cell>
          <cell r="AE79">
            <v>5.6979300116527893E-3</v>
          </cell>
          <cell r="AF79">
            <v>0.74774319847833359</v>
          </cell>
          <cell r="AG79">
            <v>10.546866666666666</v>
          </cell>
          <cell r="AH79">
            <v>1.206415</v>
          </cell>
          <cell r="AI79">
            <v>-2.6768024999999995</v>
          </cell>
        </row>
        <row r="80">
          <cell r="K80">
            <v>10.292299999999999</v>
          </cell>
          <cell r="L80">
            <v>10.509399999999999</v>
          </cell>
          <cell r="M80">
            <v>10.828200000000001</v>
          </cell>
          <cell r="N80">
            <v>-0.33485399999999998</v>
          </cell>
          <cell r="O80">
            <v>1.28867</v>
          </cell>
          <cell r="P80">
            <v>1.11151</v>
          </cell>
          <cell r="Q80">
            <v>1.0959700000000001</v>
          </cell>
          <cell r="R80">
            <v>1.26397</v>
          </cell>
          <cell r="S80">
            <v>-2.8318500000000002</v>
          </cell>
          <cell r="T80">
            <v>-2.1397400000000002</v>
          </cell>
          <cell r="U80">
            <v>-2.82212</v>
          </cell>
          <cell r="V80">
            <v>-2.9192300000000002</v>
          </cell>
          <cell r="Y80">
            <v>1147.0697654310345</v>
          </cell>
          <cell r="Z80">
            <v>564.91030467241376</v>
          </cell>
          <cell r="AA80">
            <v>8.7880575956998143E-3</v>
          </cell>
          <cell r="AB80">
            <v>8.5073161623425111E-2</v>
          </cell>
          <cell r="AC80">
            <v>7.8098357135109584E-4</v>
          </cell>
          <cell r="AD80">
            <v>7.5603443499622051E-3</v>
          </cell>
          <cell r="AE80">
            <v>5.6392847251831918E-3</v>
          </cell>
          <cell r="AF80">
            <v>0.74590315786494343</v>
          </cell>
          <cell r="AG80">
            <v>10.5433</v>
          </cell>
          <cell r="AH80">
            <v>1.1900300000000001</v>
          </cell>
          <cell r="AI80">
            <v>-2.6782350000000004</v>
          </cell>
        </row>
        <row r="81">
          <cell r="K81">
            <v>10.276</v>
          </cell>
          <cell r="L81">
            <v>10.506399999999999</v>
          </cell>
          <cell r="M81">
            <v>10.8255</v>
          </cell>
          <cell r="N81">
            <v>10.926600000000001</v>
          </cell>
          <cell r="O81">
            <v>1.3044899999999999</v>
          </cell>
          <cell r="P81">
            <v>1.11622</v>
          </cell>
          <cell r="Q81">
            <v>1.0948199999999999</v>
          </cell>
          <cell r="R81">
            <v>1.2804800000000001</v>
          </cell>
          <cell r="S81">
            <v>-2.8401900000000002</v>
          </cell>
          <cell r="T81">
            <v>-2.1412100000000001</v>
          </cell>
          <cell r="U81">
            <v>-2.81921</v>
          </cell>
          <cell r="V81">
            <v>-2.9289200000000002</v>
          </cell>
          <cell r="Y81">
            <v>1159.9959560775862</v>
          </cell>
          <cell r="Z81">
            <v>568.80237518103445</v>
          </cell>
          <cell r="AA81">
            <v>8.8921612377364442E-3</v>
          </cell>
          <cell r="AB81">
            <v>8.608094131400236E-2</v>
          </cell>
          <cell r="AC81">
            <v>7.8681312253890624E-4</v>
          </cell>
          <cell r="AD81">
            <v>7.6167775657202926E-3</v>
          </cell>
          <cell r="AE81">
            <v>5.739785649491784E-3</v>
          </cell>
          <cell r="AF81">
            <v>0.75357138894589637</v>
          </cell>
          <cell r="AG81">
            <v>10.633625</v>
          </cell>
          <cell r="AH81">
            <v>1.1990025</v>
          </cell>
          <cell r="AI81">
            <v>-2.6823825000000001</v>
          </cell>
        </row>
        <row r="82">
          <cell r="K82">
            <v>10.2918</v>
          </cell>
          <cell r="L82">
            <v>10.5122</v>
          </cell>
          <cell r="M82">
            <v>10.834899999999999</v>
          </cell>
          <cell r="N82">
            <v>-0.85528999999999999</v>
          </cell>
          <cell r="O82">
            <v>1.2782899999999999</v>
          </cell>
          <cell r="P82">
            <v>1.0927</v>
          </cell>
          <cell r="Q82">
            <v>1.07883</v>
          </cell>
          <cell r="R82">
            <v>1.25386</v>
          </cell>
          <cell r="S82">
            <v>-2.8473600000000001</v>
          </cell>
          <cell r="T82">
            <v>-2.14073</v>
          </cell>
          <cell r="U82">
            <v>-2.8180999999999998</v>
          </cell>
          <cell r="V82">
            <v>-2.9464299999999999</v>
          </cell>
          <cell r="Y82">
            <v>1135.2021467241379</v>
          </cell>
          <cell r="Z82">
            <v>563.10744568965515</v>
          </cell>
          <cell r="AA82">
            <v>8.7021730607731163E-3</v>
          </cell>
          <cell r="AB82">
            <v>8.4241752766438679E-2</v>
          </cell>
          <cell r="AC82">
            <v>7.789420003577399E-4</v>
          </cell>
          <cell r="AD82">
            <v>7.5405808359897374E-3</v>
          </cell>
          <cell r="AE82">
            <v>5.5568190456063062E-3</v>
          </cell>
          <cell r="AF82">
            <v>0.7369218852591144</v>
          </cell>
          <cell r="AG82">
            <v>10.5463</v>
          </cell>
          <cell r="AH82">
            <v>1.1759200000000001</v>
          </cell>
          <cell r="AI82">
            <v>-2.6881549999999996</v>
          </cell>
        </row>
        <row r="83">
          <cell r="K83">
            <v>10.2936</v>
          </cell>
          <cell r="L83">
            <v>10.511900000000001</v>
          </cell>
          <cell r="M83">
            <v>10.8354</v>
          </cell>
          <cell r="N83">
            <v>-1.3141099999999999</v>
          </cell>
          <cell r="O83">
            <v>1.3001499999999999</v>
          </cell>
          <cell r="P83">
            <v>1.1092599999999999</v>
          </cell>
          <cell r="Q83">
            <v>1.10212</v>
          </cell>
          <cell r="R83">
            <v>1.28159</v>
          </cell>
          <cell r="S83">
            <v>-2.8476499999999998</v>
          </cell>
          <cell r="T83">
            <v>-2.1408800000000001</v>
          </cell>
          <cell r="U83">
            <v>-2.8172299999999999</v>
          </cell>
          <cell r="V83">
            <v>-2.9466800000000002</v>
          </cell>
          <cell r="Y83">
            <v>1149.3083373706895</v>
          </cell>
          <cell r="Z83">
            <v>567.71651619827583</v>
          </cell>
          <cell r="AA83">
            <v>8.8124583325216149E-3</v>
          </cell>
          <cell r="AB83">
            <v>8.5309373983752324E-2</v>
          </cell>
          <cell r="AC83">
            <v>7.8550940256482153E-4</v>
          </cell>
          <cell r="AD83">
            <v>7.6041568496110507E-3</v>
          </cell>
          <cell r="AE83">
            <v>5.6627879008821725E-3</v>
          </cell>
          <cell r="AF83">
            <v>0.74469635659498812</v>
          </cell>
          <cell r="AG83">
            <v>10.546966666666668</v>
          </cell>
          <cell r="AH83">
            <v>1.19828</v>
          </cell>
          <cell r="AI83">
            <v>-2.68811</v>
          </cell>
        </row>
        <row r="84">
          <cell r="K84">
            <v>10.2927</v>
          </cell>
          <cell r="L84">
            <v>10.513400000000001</v>
          </cell>
          <cell r="M84">
            <v>10.8291</v>
          </cell>
          <cell r="N84">
            <v>10.9329</v>
          </cell>
          <cell r="O84">
            <v>1.3195399999999999</v>
          </cell>
          <cell r="P84">
            <v>1.10805</v>
          </cell>
          <cell r="Q84">
            <v>1.09165</v>
          </cell>
          <cell r="R84">
            <v>1.3019400000000001</v>
          </cell>
          <cell r="S84">
            <v>-2.8508499999999999</v>
          </cell>
          <cell r="T84">
            <v>-2.1434700000000002</v>
          </cell>
          <cell r="U84">
            <v>-2.8176600000000001</v>
          </cell>
          <cell r="V84">
            <v>-2.9537800000000001</v>
          </cell>
          <cell r="Y84">
            <v>1150.5645280172414</v>
          </cell>
          <cell r="Z84">
            <v>571.0565867068965</v>
          </cell>
          <cell r="AA84">
            <v>8.8224193860871897E-3</v>
          </cell>
          <cell r="AB84">
            <v>8.5405802382257395E-2</v>
          </cell>
          <cell r="AC84">
            <v>7.9016029488248544E-4</v>
          </cell>
          <cell r="AD84">
            <v>7.6491800085429374E-3</v>
          </cell>
          <cell r="AE84">
            <v>5.6723919072185361E-3</v>
          </cell>
          <cell r="AF84">
            <v>0.74156862577209082</v>
          </cell>
          <cell r="AG84">
            <v>10.642025</v>
          </cell>
          <cell r="AH84">
            <v>1.205295</v>
          </cell>
          <cell r="AI84">
            <v>-2.6914400000000001</v>
          </cell>
        </row>
        <row r="85">
          <cell r="K85">
            <v>10.27</v>
          </cell>
          <cell r="L85">
            <v>10.5101</v>
          </cell>
          <cell r="M85">
            <v>10.830399999999999</v>
          </cell>
          <cell r="N85">
            <v>10.930999999999999</v>
          </cell>
          <cell r="O85">
            <v>1.29796</v>
          </cell>
          <cell r="P85">
            <v>1.1105499999999999</v>
          </cell>
          <cell r="Q85">
            <v>1.08945</v>
          </cell>
          <cell r="R85">
            <v>1.2773099999999999</v>
          </cell>
          <cell r="S85">
            <v>-2.8519100000000002</v>
          </cell>
          <cell r="T85">
            <v>-2.1438299999999999</v>
          </cell>
          <cell r="U85">
            <v>-2.8189299999999999</v>
          </cell>
          <cell r="V85">
            <v>-2.9642900000000001</v>
          </cell>
          <cell r="Y85">
            <v>1158.6807186637932</v>
          </cell>
          <cell r="Z85">
            <v>569.23565721551722</v>
          </cell>
          <cell r="AA85">
            <v>8.8829200209625658E-3</v>
          </cell>
          <cell r="AB85">
            <v>8.599148132587188E-2</v>
          </cell>
          <cell r="AC85">
            <v>7.8748702711953157E-4</v>
          </cell>
          <cell r="AD85">
            <v>7.6233013273913994E-3</v>
          </cell>
          <cell r="AE85">
            <v>5.7308403292661708E-3</v>
          </cell>
          <cell r="AF85">
            <v>0.75175309005228508</v>
          </cell>
          <cell r="AG85">
            <v>10.635374999999998</v>
          </cell>
          <cell r="AH85">
            <v>1.1938175</v>
          </cell>
          <cell r="AI85">
            <v>-2.6947399999999999</v>
          </cell>
        </row>
        <row r="86">
          <cell r="K86">
            <v>11.3035</v>
          </cell>
          <cell r="L86">
            <v>11.4648</v>
          </cell>
          <cell r="M86">
            <v>11.805099999999999</v>
          </cell>
          <cell r="N86">
            <v>11.921900000000001</v>
          </cell>
          <cell r="O86">
            <v>1.4955000000000001</v>
          </cell>
          <cell r="P86">
            <v>1.3125</v>
          </cell>
          <cell r="Q86">
            <v>1.29819</v>
          </cell>
          <cell r="R86">
            <v>1.48461</v>
          </cell>
          <cell r="S86">
            <v>-3.37859</v>
          </cell>
          <cell r="T86">
            <v>-2.6411600000000002</v>
          </cell>
          <cell r="U86">
            <v>-3.3453400000000002</v>
          </cell>
          <cell r="V86">
            <v>-3.4766900000000001</v>
          </cell>
          <cell r="Y86">
            <v>1280.6469093103449</v>
          </cell>
          <cell r="Z86">
            <v>665.99672772413794</v>
          </cell>
          <cell r="AA86">
            <v>9.8196843872902142E-3</v>
          </cell>
          <cell r="AB86">
            <v>9.5059868221589683E-2</v>
          </cell>
          <cell r="AC86">
            <v>9.2150895206299119E-4</v>
          </cell>
          <cell r="AD86">
            <v>8.9207062155178228E-3</v>
          </cell>
          <cell r="AE86">
            <v>6.6608702632916239E-3</v>
          </cell>
          <cell r="AF86">
            <v>0.74667521857236485</v>
          </cell>
          <cell r="AG86">
            <v>11.623825</v>
          </cell>
          <cell r="AH86">
            <v>1.3976999999999999</v>
          </cell>
          <cell r="AI86">
            <v>-3.210445</v>
          </cell>
        </row>
        <row r="87">
          <cell r="K87">
            <v>11.3049</v>
          </cell>
          <cell r="L87">
            <v>11.4657</v>
          </cell>
          <cell r="M87">
            <v>11.805</v>
          </cell>
          <cell r="N87">
            <v>11.9198</v>
          </cell>
          <cell r="O87">
            <v>1.51017</v>
          </cell>
          <cell r="P87">
            <v>1.3142199999999999</v>
          </cell>
          <cell r="Q87">
            <v>1.30217</v>
          </cell>
          <cell r="R87">
            <v>1.50044</v>
          </cell>
          <cell r="S87">
            <v>-3.3925700000000001</v>
          </cell>
          <cell r="T87">
            <v>-2.64622</v>
          </cell>
          <cell r="U87">
            <v>-3.3645999999999998</v>
          </cell>
          <cell r="V87">
            <v>-3.49878</v>
          </cell>
          <cell r="Y87">
            <v>1290.8730999568966</v>
          </cell>
          <cell r="Z87">
            <v>673.37279823275856</v>
          </cell>
          <cell r="AA87">
            <v>9.897773339846351E-3</v>
          </cell>
          <cell r="AB87">
            <v>9.5815811615163129E-2</v>
          </cell>
          <cell r="AC87">
            <v>9.3168448078723262E-4</v>
          </cell>
          <cell r="AD87">
            <v>9.0192108498280011E-3</v>
          </cell>
          <cell r="AE87">
            <v>6.7404817464202333E-3</v>
          </cell>
          <cell r="AF87">
            <v>0.74734717467535161</v>
          </cell>
          <cell r="AG87">
            <v>11.623850000000001</v>
          </cell>
          <cell r="AH87">
            <v>1.4067500000000002</v>
          </cell>
          <cell r="AI87">
            <v>-3.2255425</v>
          </cell>
        </row>
        <row r="88">
          <cell r="K88">
            <v>11.319699999999999</v>
          </cell>
          <cell r="L88">
            <v>11.4741</v>
          </cell>
          <cell r="M88">
            <v>11.8134</v>
          </cell>
          <cell r="N88">
            <v>11.9254</v>
          </cell>
          <cell r="O88">
            <v>1.5265899999999999</v>
          </cell>
          <cell r="P88">
            <v>1.3287500000000001</v>
          </cell>
          <cell r="Q88">
            <v>1.3205899999999999</v>
          </cell>
          <cell r="R88">
            <v>1.5224599999999999</v>
          </cell>
          <cell r="S88">
            <v>-3.3984299999999998</v>
          </cell>
          <cell r="T88">
            <v>-2.6498499999999998</v>
          </cell>
          <cell r="U88">
            <v>-3.3756300000000001</v>
          </cell>
          <cell r="V88">
            <v>-3.5129100000000002</v>
          </cell>
          <cell r="Y88">
            <v>1286.2992906034483</v>
          </cell>
          <cell r="Z88">
            <v>673.2768687413793</v>
          </cell>
          <cell r="AA88">
            <v>9.8866408806529225E-3</v>
          </cell>
          <cell r="AB88">
            <v>9.5708043375149293E-2</v>
          </cell>
          <cell r="AC88">
            <v>9.3381267106911056E-4</v>
          </cell>
          <cell r="AD88">
            <v>9.0398128854705766E-3</v>
          </cell>
          <cell r="AE88">
            <v>6.7291129720833329E-3</v>
          </cell>
          <cell r="AF88">
            <v>0.74438631167895486</v>
          </cell>
          <cell r="AG88">
            <v>11.633150000000001</v>
          </cell>
          <cell r="AH88">
            <v>1.4245975</v>
          </cell>
          <cell r="AI88">
            <v>-3.2342049999999998</v>
          </cell>
        </row>
        <row r="89">
          <cell r="K89">
            <v>11.321099999999999</v>
          </cell>
          <cell r="L89">
            <v>11.472200000000001</v>
          </cell>
          <cell r="M89">
            <v>11.815300000000001</v>
          </cell>
          <cell r="N89">
            <v>11.924200000000001</v>
          </cell>
          <cell r="O89">
            <v>1.47468</v>
          </cell>
          <cell r="P89">
            <v>1.2828900000000001</v>
          </cell>
          <cell r="Q89">
            <v>1.2755399999999999</v>
          </cell>
          <cell r="R89">
            <v>1.4621299999999999</v>
          </cell>
          <cell r="S89">
            <v>-3.3988</v>
          </cell>
          <cell r="T89">
            <v>-2.6479900000000001</v>
          </cell>
          <cell r="U89">
            <v>-3.3601000000000001</v>
          </cell>
          <cell r="V89">
            <v>-3.5098799999999999</v>
          </cell>
          <cell r="Y89">
            <v>1256.5754812499999</v>
          </cell>
          <cell r="Z89">
            <v>659.31393924999998</v>
          </cell>
          <cell r="AA89">
            <v>9.6255971819615756E-3</v>
          </cell>
          <cell r="AB89">
            <v>9.318099885732406E-2</v>
          </cell>
          <cell r="AC89">
            <v>9.1136154382980949E-4</v>
          </cell>
          <cell r="AD89">
            <v>8.8224738028055121E-3</v>
          </cell>
          <cell r="AE89">
            <v>6.4643699877064116E-3</v>
          </cell>
          <cell r="AF89">
            <v>0.73271625761594972</v>
          </cell>
          <cell r="AG89">
            <v>11.6332</v>
          </cell>
          <cell r="AH89">
            <v>1.3738100000000002</v>
          </cell>
          <cell r="AI89">
            <v>-3.2291924999999999</v>
          </cell>
        </row>
        <row r="90">
          <cell r="K90">
            <v>11.326000000000001</v>
          </cell>
          <cell r="L90">
            <v>11.468</v>
          </cell>
          <cell r="M90">
            <v>11.808299999999999</v>
          </cell>
          <cell r="N90">
            <v>11.919</v>
          </cell>
          <cell r="O90">
            <v>1.4916199999999999</v>
          </cell>
          <cell r="P90">
            <v>1.29251</v>
          </cell>
          <cell r="Q90">
            <v>1.28345</v>
          </cell>
          <cell r="R90">
            <v>1.4813799999999999</v>
          </cell>
          <cell r="S90">
            <v>-3.4016299999999999</v>
          </cell>
          <cell r="T90">
            <v>-2.64974</v>
          </cell>
          <cell r="U90">
            <v>-3.3690600000000002</v>
          </cell>
          <cell r="V90">
            <v>-3.5141900000000001</v>
          </cell>
          <cell r="Y90">
            <v>1277.8916718965518</v>
          </cell>
          <cell r="Z90">
            <v>670.48200975862073</v>
          </cell>
          <cell r="AA90">
            <v>9.801425586358218E-3</v>
          </cell>
          <cell r="AB90">
            <v>9.4883113130282845E-2</v>
          </cell>
          <cell r="AC90">
            <v>9.2798653817625064E-4</v>
          </cell>
          <cell r="AD90">
            <v>8.9834127606607025E-3</v>
          </cell>
          <cell r="AE90">
            <v>6.6423009875230593E-3</v>
          </cell>
          <cell r="AF90">
            <v>0.73939616986212464</v>
          </cell>
          <cell r="AG90">
            <v>11.630324999999999</v>
          </cell>
          <cell r="AH90">
            <v>1.38724</v>
          </cell>
          <cell r="AI90">
            <v>-3.2336549999999997</v>
          </cell>
        </row>
        <row r="91">
          <cell r="K91">
            <v>11.3124</v>
          </cell>
          <cell r="L91">
            <v>11.466699999999999</v>
          </cell>
          <cell r="M91">
            <v>11.809200000000001</v>
          </cell>
          <cell r="N91">
            <v>11.918200000000001</v>
          </cell>
          <cell r="O91">
            <v>1.50145</v>
          </cell>
          <cell r="P91">
            <v>1.31273</v>
          </cell>
          <cell r="Q91">
            <v>1.3032600000000001</v>
          </cell>
          <cell r="R91">
            <v>1.4920199999999999</v>
          </cell>
          <cell r="S91">
            <v>-3.4046099999999999</v>
          </cell>
          <cell r="T91">
            <v>-2.6506400000000001</v>
          </cell>
          <cell r="U91">
            <v>-3.3831899999999999</v>
          </cell>
          <cell r="V91">
            <v>-3.5215700000000001</v>
          </cell>
          <cell r="Y91">
            <v>1293.8578625431035</v>
          </cell>
          <cell r="Z91">
            <v>674.49208026724136</v>
          </cell>
          <cell r="AA91">
            <v>9.9175315462345578E-3</v>
          </cell>
          <cell r="AB91">
            <v>9.6007081764129309E-2</v>
          </cell>
          <cell r="AC91">
            <v>9.3293892913979084E-4</v>
          </cell>
          <cell r="AD91">
            <v>9.0313545899302107E-3</v>
          </cell>
          <cell r="AE91">
            <v>6.7606751172628243E-3</v>
          </cell>
          <cell r="AF91">
            <v>0.74857819499201694</v>
          </cell>
          <cell r="AG91">
            <v>11.626625000000001</v>
          </cell>
          <cell r="AH91">
            <v>1.4023650000000001</v>
          </cell>
          <cell r="AI91">
            <v>-3.2400025000000001</v>
          </cell>
        </row>
        <row r="92">
          <cell r="K92">
            <v>11.3185</v>
          </cell>
          <cell r="L92">
            <v>11.4686</v>
          </cell>
          <cell r="M92">
            <v>11.811999999999999</v>
          </cell>
          <cell r="N92">
            <v>11.9215</v>
          </cell>
          <cell r="O92">
            <v>1.53478</v>
          </cell>
          <cell r="P92">
            <v>1.3443799999999999</v>
          </cell>
          <cell r="Q92">
            <v>1.3386800000000001</v>
          </cell>
          <cell r="R92">
            <v>1.53406</v>
          </cell>
          <cell r="S92">
            <v>-3.40733</v>
          </cell>
          <cell r="T92">
            <v>-2.65232</v>
          </cell>
          <cell r="U92">
            <v>-3.3789099999999999</v>
          </cell>
          <cell r="V92">
            <v>-3.5282399999999998</v>
          </cell>
          <cell r="Y92">
            <v>1308.2240531896553</v>
          </cell>
          <cell r="Z92">
            <v>681.84115077586205</v>
          </cell>
          <cell r="AA92">
            <v>1.002764092831988E-2</v>
          </cell>
          <cell r="AB92">
            <v>9.7073000274151791E-2</v>
          </cell>
          <cell r="AC92">
            <v>9.4310314329057151E-4</v>
          </cell>
          <cell r="AD92">
            <v>9.1297496930355417E-3</v>
          </cell>
          <cell r="AE92">
            <v>6.8735776316418019E-3</v>
          </cell>
          <cell r="AF92">
            <v>0.75287689835408977</v>
          </cell>
          <cell r="AG92">
            <v>11.63015</v>
          </cell>
          <cell r="AH92">
            <v>1.437975</v>
          </cell>
          <cell r="AI92">
            <v>-3.2416999999999998</v>
          </cell>
        </row>
        <row r="93">
          <cell r="K93">
            <v>11.335800000000001</v>
          </cell>
          <cell r="L93">
            <v>11.478999999999999</v>
          </cell>
          <cell r="M93">
            <v>11.823</v>
          </cell>
          <cell r="N93">
            <v>11.9338</v>
          </cell>
          <cell r="O93">
            <v>1.51268</v>
          </cell>
          <cell r="P93">
            <v>1.30406</v>
          </cell>
          <cell r="Q93">
            <v>1.2947900000000001</v>
          </cell>
          <cell r="R93">
            <v>1.4975099999999999</v>
          </cell>
          <cell r="S93">
            <v>-3.3982600000000001</v>
          </cell>
          <cell r="T93">
            <v>-2.6496900000000001</v>
          </cell>
          <cell r="U93">
            <v>-3.3813200000000001</v>
          </cell>
          <cell r="V93">
            <v>-3.5172400000000001</v>
          </cell>
          <cell r="Y93">
            <v>1256.6302438362068</v>
          </cell>
          <cell r="Z93">
            <v>659.86422128448271</v>
          </cell>
          <cell r="AA93">
            <v>9.6324899280608341E-3</v>
          </cell>
          <cell r="AB93">
            <v>9.3247724376193941E-2</v>
          </cell>
          <cell r="AC93">
            <v>9.1273557120372182E-4</v>
          </cell>
          <cell r="AD93">
            <v>8.8357751326594552E-3</v>
          </cell>
          <cell r="AE93">
            <v>6.4713147885202748E-3</v>
          </cell>
          <cell r="AF93">
            <v>0.73239921697424315</v>
          </cell>
          <cell r="AG93">
            <v>11.642899999999999</v>
          </cell>
          <cell r="AH93">
            <v>1.4022600000000001</v>
          </cell>
          <cell r="AI93">
            <v>-3.2366275</v>
          </cell>
        </row>
        <row r="94">
          <cell r="K94">
            <v>11.328200000000001</v>
          </cell>
          <cell r="L94">
            <v>11.4741</v>
          </cell>
          <cell r="M94">
            <v>11.816599999999999</v>
          </cell>
          <cell r="N94">
            <v>11.9282</v>
          </cell>
          <cell r="O94">
            <v>1.5252300000000001</v>
          </cell>
          <cell r="P94">
            <v>1.3224899999999999</v>
          </cell>
          <cell r="Q94">
            <v>1.32</v>
          </cell>
          <cell r="R94">
            <v>1.5298700000000001</v>
          </cell>
          <cell r="S94">
            <v>-3.4050099999999999</v>
          </cell>
          <cell r="T94">
            <v>-2.65185</v>
          </cell>
          <cell r="U94">
            <v>-3.3927700000000001</v>
          </cell>
          <cell r="V94">
            <v>-3.5326900000000001</v>
          </cell>
          <cell r="Y94">
            <v>1288.3464344827585</v>
          </cell>
          <cell r="Z94">
            <v>672.54029179310339</v>
          </cell>
          <cell r="AA94">
            <v>9.8773707849496347E-3</v>
          </cell>
          <cell r="AB94">
            <v>9.5618303823326561E-2</v>
          </cell>
          <cell r="AC94">
            <v>9.3043565511843071E-4</v>
          </cell>
          <cell r="AD94">
            <v>9.0071215403526687E-3</v>
          </cell>
          <cell r="AE94">
            <v>6.7196509772528366E-3</v>
          </cell>
          <cell r="AF94">
            <v>0.74603756007379607</v>
          </cell>
          <cell r="AG94">
            <v>11.636775</v>
          </cell>
          <cell r="AH94">
            <v>1.4243975</v>
          </cell>
          <cell r="AI94">
            <v>-3.2455800000000004</v>
          </cell>
        </row>
        <row r="95">
          <cell r="K95">
            <v>11.314299999999999</v>
          </cell>
          <cell r="L95">
            <v>11.4718</v>
          </cell>
          <cell r="M95">
            <v>11.817</v>
          </cell>
          <cell r="N95">
            <v>11.9229</v>
          </cell>
          <cell r="O95">
            <v>1.4877899999999999</v>
          </cell>
          <cell r="P95">
            <v>1.2964100000000001</v>
          </cell>
          <cell r="Q95">
            <v>1.2867299999999999</v>
          </cell>
          <cell r="R95">
            <v>1.4855700000000001</v>
          </cell>
          <cell r="S95">
            <v>-3.4032800000000001</v>
          </cell>
          <cell r="T95">
            <v>-2.6511100000000001</v>
          </cell>
          <cell r="U95">
            <v>-3.3912</v>
          </cell>
          <cell r="V95">
            <v>-3.5304099999999998</v>
          </cell>
          <cell r="Y95">
            <v>1269.4026251293105</v>
          </cell>
          <cell r="Z95">
            <v>665.02936230172418</v>
          </cell>
          <cell r="AA95">
            <v>9.7300167755707458E-3</v>
          </cell>
          <cell r="AB95">
            <v>9.4191837130404119E-2</v>
          </cell>
          <cell r="AC95">
            <v>9.1984437538966896E-4</v>
          </cell>
          <cell r="AD95">
            <v>8.9045922109358081E-3</v>
          </cell>
          <cell r="AE95">
            <v>6.569844102619308E-3</v>
          </cell>
          <cell r="AF95">
            <v>0.7378040394203369</v>
          </cell>
          <cell r="AG95">
            <v>11.631499999999999</v>
          </cell>
          <cell r="AH95">
            <v>1.3891250000000002</v>
          </cell>
          <cell r="AI95">
            <v>-3.2439999999999998</v>
          </cell>
        </row>
        <row r="96">
          <cell r="K96">
            <v>12.3277</v>
          </cell>
          <cell r="L96">
            <v>12.4443</v>
          </cell>
          <cell r="M96">
            <v>12.863899999999999</v>
          </cell>
          <cell r="N96">
            <v>2.8530199999999999</v>
          </cell>
          <cell r="O96">
            <v>1.6955499999999999</v>
          </cell>
          <cell r="P96">
            <v>1.5239499999999999</v>
          </cell>
          <cell r="Q96">
            <v>1.56046</v>
          </cell>
          <cell r="R96">
            <v>1.7006399999999999</v>
          </cell>
          <cell r="S96">
            <v>-4.0701799999999997</v>
          </cell>
          <cell r="T96">
            <v>-3.3165499999999999</v>
          </cell>
          <cell r="U96">
            <v>-4.0758700000000001</v>
          </cell>
          <cell r="V96">
            <v>-4.2164799999999998</v>
          </cell>
          <cell r="Y96">
            <v>1436.1688157758622</v>
          </cell>
          <cell r="Z96">
            <v>797.51143281034479</v>
          </cell>
          <cell r="AA96">
            <v>1.0988046885869046E-2</v>
          </cell>
          <cell r="AB96">
            <v>0.10637025058924536</v>
          </cell>
          <cell r="AC96">
            <v>1.1010607174753854E-3</v>
          </cell>
          <cell r="AD96">
            <v>1.0658864641581658E-2</v>
          </cell>
          <cell r="AE96">
            <v>7.8843416734801879E-3</v>
          </cell>
          <cell r="AF96">
            <v>0.73969807654018938</v>
          </cell>
          <cell r="AG96">
            <v>10.12223</v>
          </cell>
          <cell r="AH96">
            <v>1.62015</v>
          </cell>
          <cell r="AI96">
            <v>-3.9197699999999998</v>
          </cell>
        </row>
        <row r="97">
          <cell r="K97">
            <v>12.3307</v>
          </cell>
          <cell r="L97">
            <v>12.4504</v>
          </cell>
          <cell r="M97">
            <v>12.867800000000001</v>
          </cell>
          <cell r="N97">
            <v>12.888</v>
          </cell>
          <cell r="O97">
            <v>1.7161500000000001</v>
          </cell>
          <cell r="P97">
            <v>1.5321400000000001</v>
          </cell>
          <cell r="Q97">
            <v>1.56243</v>
          </cell>
          <cell r="R97">
            <v>1.7166600000000001</v>
          </cell>
          <cell r="S97">
            <v>-4.0683699999999998</v>
          </cell>
          <cell r="T97">
            <v>-3.31711</v>
          </cell>
          <cell r="U97">
            <v>-4.0742700000000003</v>
          </cell>
          <cell r="V97">
            <v>-4.2077499999999999</v>
          </cell>
          <cell r="Y97">
            <v>1430.2850064224137</v>
          </cell>
          <cell r="Z97">
            <v>795.11650331896556</v>
          </cell>
          <cell r="AA97">
            <v>1.0934016763926486E-2</v>
          </cell>
          <cell r="AB97">
            <v>0.10584720971855262</v>
          </cell>
          <cell r="AC97">
            <v>1.0968500430889891E-3</v>
          </cell>
          <cell r="AD97">
            <v>1.0618103030871143E-2</v>
          </cell>
          <cell r="AE97">
            <v>7.8262602172095089E-3</v>
          </cell>
          <cell r="AF97">
            <v>0.73706764706043904</v>
          </cell>
          <cell r="AG97">
            <v>12.634225000000001</v>
          </cell>
          <cell r="AH97">
            <v>1.631845</v>
          </cell>
          <cell r="AI97">
            <v>-3.9168750000000001</v>
          </cell>
        </row>
        <row r="98">
          <cell r="K98">
            <v>12.347300000000001</v>
          </cell>
          <cell r="L98">
            <v>12.454000000000001</v>
          </cell>
          <cell r="M98">
            <v>12.8713</v>
          </cell>
          <cell r="N98">
            <v>12.893000000000001</v>
          </cell>
          <cell r="O98">
            <v>1.73515</v>
          </cell>
          <cell r="P98">
            <v>1.5381199999999999</v>
          </cell>
          <cell r="Q98">
            <v>1.5689599999999999</v>
          </cell>
          <cell r="R98">
            <v>1.72624</v>
          </cell>
          <cell r="S98">
            <v>-4.0613599999999996</v>
          </cell>
          <cell r="T98">
            <v>-3.3124099999999999</v>
          </cell>
          <cell r="U98">
            <v>-4.0725499999999997</v>
          </cell>
          <cell r="V98">
            <v>-4.1913299999999998</v>
          </cell>
          <cell r="Y98">
            <v>1425.1511970689655</v>
          </cell>
          <cell r="Z98">
            <v>794.08057382758625</v>
          </cell>
          <cell r="AA98">
            <v>1.0918381804667917E-2</v>
          </cell>
          <cell r="AB98">
            <v>0.10569585483705631</v>
          </cell>
          <cell r="AC98">
            <v>1.0977949947346345E-3</v>
          </cell>
          <cell r="AD98">
            <v>1.0627250675069066E-2</v>
          </cell>
          <cell r="AE98">
            <v>7.8094796265669557E-3</v>
          </cell>
          <cell r="AF98">
            <v>0.73485418433645844</v>
          </cell>
          <cell r="AG98">
            <v>12.641400000000001</v>
          </cell>
          <cell r="AH98">
            <v>1.6421174999999999</v>
          </cell>
          <cell r="AI98">
            <v>-3.9094125000000002</v>
          </cell>
        </row>
        <row r="99">
          <cell r="K99">
            <v>12.336600000000001</v>
          </cell>
          <cell r="L99">
            <v>12.446999999999999</v>
          </cell>
          <cell r="M99">
            <v>12.8627</v>
          </cell>
          <cell r="N99">
            <v>12.879899999999999</v>
          </cell>
          <cell r="O99">
            <v>1.7128699999999999</v>
          </cell>
          <cell r="P99">
            <v>1.5194000000000001</v>
          </cell>
          <cell r="Q99">
            <v>1.5549200000000001</v>
          </cell>
          <cell r="R99">
            <v>1.6953400000000001</v>
          </cell>
          <cell r="S99">
            <v>-4.05098</v>
          </cell>
          <cell r="T99">
            <v>-3.3030900000000001</v>
          </cell>
          <cell r="U99">
            <v>-4.0677700000000003</v>
          </cell>
          <cell r="V99">
            <v>-4.1568800000000001</v>
          </cell>
          <cell r="Y99">
            <v>1435.6873877155172</v>
          </cell>
          <cell r="Z99">
            <v>796.50864433620688</v>
          </cell>
          <cell r="AA99">
            <v>1.098654744863797E-2</v>
          </cell>
          <cell r="AB99">
            <v>0.10635573522398808</v>
          </cell>
          <cell r="AC99">
            <v>1.0998948877442853E-3</v>
          </cell>
          <cell r="AD99">
            <v>1.0647578777776237E-2</v>
          </cell>
          <cell r="AE99">
            <v>7.8827278736508313E-3</v>
          </cell>
          <cell r="AF99">
            <v>0.74033055196583863</v>
          </cell>
          <cell r="AG99">
            <v>12.631549999999999</v>
          </cell>
          <cell r="AH99">
            <v>1.6206324999999999</v>
          </cell>
          <cell r="AI99">
            <v>-3.8946800000000001</v>
          </cell>
        </row>
        <row r="100">
          <cell r="K100">
            <v>12.3454</v>
          </cell>
          <cell r="L100">
            <v>12.4557</v>
          </cell>
          <cell r="M100">
            <v>12.871600000000001</v>
          </cell>
          <cell r="N100">
            <v>12.8925</v>
          </cell>
          <cell r="O100">
            <v>1.7373700000000001</v>
          </cell>
          <cell r="P100">
            <v>1.54403</v>
          </cell>
          <cell r="Q100">
            <v>1.5717000000000001</v>
          </cell>
          <cell r="R100">
            <v>1.7289300000000001</v>
          </cell>
          <cell r="S100">
            <v>-4.0440300000000002</v>
          </cell>
          <cell r="T100">
            <v>-3.3000400000000001</v>
          </cell>
          <cell r="U100">
            <v>-4.06717</v>
          </cell>
          <cell r="V100">
            <v>-4.15977</v>
          </cell>
          <cell r="Y100">
            <v>1425.973578362069</v>
          </cell>
          <cell r="Z100">
            <v>790.00871484482752</v>
          </cell>
          <cell r="AA100">
            <v>1.0925549711585682E-2</v>
          </cell>
          <cell r="AB100">
            <v>0.10576524406181687</v>
          </cell>
          <cell r="AC100">
            <v>1.0922524825599206E-3</v>
          </cell>
          <cell r="AD100">
            <v>1.0573596152564575E-2</v>
          </cell>
          <cell r="AE100">
            <v>7.8171712621522005E-3</v>
          </cell>
          <cell r="AF100">
            <v>0.73931055710465954</v>
          </cell>
          <cell r="AG100">
            <v>12.641299999999999</v>
          </cell>
          <cell r="AH100">
            <v>1.6455075000000001</v>
          </cell>
          <cell r="AI100">
            <v>-3.8927524999999998</v>
          </cell>
        </row>
        <row r="101">
          <cell r="K101">
            <v>12.3352</v>
          </cell>
          <cell r="L101">
            <v>12.448399999999999</v>
          </cell>
          <cell r="M101">
            <v>12.862299999999999</v>
          </cell>
          <cell r="N101">
            <v>12.878</v>
          </cell>
          <cell r="O101">
            <v>1.7079500000000001</v>
          </cell>
          <cell r="P101">
            <v>1.52308</v>
          </cell>
          <cell r="Q101">
            <v>1.55389</v>
          </cell>
          <cell r="R101">
            <v>1.6993199999999999</v>
          </cell>
          <cell r="S101">
            <v>-4.04406</v>
          </cell>
          <cell r="T101">
            <v>-3.3024499999999999</v>
          </cell>
          <cell r="U101">
            <v>-4.0680300000000003</v>
          </cell>
          <cell r="V101">
            <v>-4.18011</v>
          </cell>
          <cell r="Y101">
            <v>1432.8997690086208</v>
          </cell>
          <cell r="Z101">
            <v>795.88678535344832</v>
          </cell>
          <cell r="AA101">
            <v>1.0981727076566443E-2</v>
          </cell>
          <cell r="AB101">
            <v>0.10630907140916207</v>
          </cell>
          <cell r="AC101">
            <v>1.1006911305859225E-3</v>
          </cell>
          <cell r="AD101">
            <v>1.0655286840134778E-2</v>
          </cell>
          <cell r="AE101">
            <v>7.877540596218504E-3</v>
          </cell>
          <cell r="AF101">
            <v>0.73930816827441337</v>
          </cell>
          <cell r="AG101">
            <v>12.630974999999999</v>
          </cell>
          <cell r="AH101">
            <v>1.6210599999999999</v>
          </cell>
          <cell r="AI101">
            <v>-3.8986625000000004</v>
          </cell>
        </row>
        <row r="102">
          <cell r="K102">
            <v>12.34</v>
          </cell>
          <cell r="L102">
            <v>12.450200000000001</v>
          </cell>
          <cell r="M102">
            <v>12.864100000000001</v>
          </cell>
          <cell r="N102">
            <v>12.8809</v>
          </cell>
          <cell r="O102">
            <v>1.7128399999999999</v>
          </cell>
          <cell r="P102">
            <v>1.5281199999999999</v>
          </cell>
          <cell r="Q102">
            <v>1.55908</v>
          </cell>
          <cell r="R102">
            <v>1.70269</v>
          </cell>
          <cell r="S102">
            <v>-4.0415599999999996</v>
          </cell>
          <cell r="T102">
            <v>-3.2995000000000001</v>
          </cell>
          <cell r="U102">
            <v>-4.0662799999999999</v>
          </cell>
          <cell r="V102">
            <v>-4.1654299999999997</v>
          </cell>
          <cell r="Y102">
            <v>1431.8659596551724</v>
          </cell>
          <cell r="Z102">
            <v>796.32385586206897</v>
          </cell>
          <cell r="AA102">
            <v>1.096854574752934E-2</v>
          </cell>
          <cell r="AB102">
            <v>0.10618146899834792</v>
          </cell>
          <cell r="AC102">
            <v>1.1007678893217123E-3</v>
          </cell>
          <cell r="AD102">
            <v>1.0656029906308928E-2</v>
          </cell>
          <cell r="AE102">
            <v>7.8633617759371784E-3</v>
          </cell>
          <cell r="AF102">
            <v>0.73792602358235271</v>
          </cell>
          <cell r="AG102">
            <v>12.633800000000001</v>
          </cell>
          <cell r="AH102">
            <v>1.6256824999999999</v>
          </cell>
          <cell r="AI102">
            <v>-3.8931924999999996</v>
          </cell>
        </row>
        <row r="103">
          <cell r="K103">
            <v>12.337</v>
          </cell>
          <cell r="L103">
            <v>12.4476</v>
          </cell>
          <cell r="M103">
            <v>12.861700000000001</v>
          </cell>
          <cell r="N103">
            <v>12.8766</v>
          </cell>
          <cell r="O103">
            <v>1.7114100000000001</v>
          </cell>
          <cell r="P103">
            <v>1.5327200000000001</v>
          </cell>
          <cell r="Q103">
            <v>1.5698399999999999</v>
          </cell>
          <cell r="R103">
            <v>1.7050700000000001</v>
          </cell>
          <cell r="S103">
            <v>-4.0425899999999997</v>
          </cell>
          <cell r="T103">
            <v>-3.2995000000000001</v>
          </cell>
          <cell r="U103">
            <v>-4.0659900000000002</v>
          </cell>
          <cell r="V103">
            <v>-4.17652</v>
          </cell>
          <cell r="Y103">
            <v>1442.3021503017242</v>
          </cell>
          <cell r="Z103">
            <v>798.67292637068965</v>
          </cell>
          <cell r="AA103">
            <v>1.1050418210618388E-2</v>
          </cell>
          <cell r="AB103">
            <v>0.10697403882496019</v>
          </cell>
          <cell r="AC103">
            <v>1.1042076862242303E-3</v>
          </cell>
          <cell r="AD103">
            <v>1.0689329005074834E-2</v>
          </cell>
          <cell r="AE103">
            <v>7.9515675444246127E-3</v>
          </cell>
          <cell r="AF103">
            <v>0.74387901622726271</v>
          </cell>
          <cell r="AG103">
            <v>12.630724999999998</v>
          </cell>
          <cell r="AH103">
            <v>1.6297600000000001</v>
          </cell>
          <cell r="AI103">
            <v>-3.89615</v>
          </cell>
        </row>
        <row r="104">
          <cell r="K104">
            <v>12.352499999999999</v>
          </cell>
          <cell r="L104">
            <v>12.457800000000001</v>
          </cell>
          <cell r="M104">
            <v>12.868499999999999</v>
          </cell>
          <cell r="N104">
            <v>12.886699999999999</v>
          </cell>
          <cell r="O104">
            <v>1.7132499999999999</v>
          </cell>
          <cell r="P104">
            <v>1.5101800000000001</v>
          </cell>
          <cell r="Q104">
            <v>1.5450999999999999</v>
          </cell>
          <cell r="R104">
            <v>1.70767</v>
          </cell>
          <cell r="S104">
            <v>-4.0402300000000002</v>
          </cell>
          <cell r="T104">
            <v>-3.29948</v>
          </cell>
          <cell r="U104">
            <v>-4.0677099999999999</v>
          </cell>
          <cell r="V104">
            <v>-4.1698700000000004</v>
          </cell>
          <cell r="Y104">
            <v>1407.7083409482759</v>
          </cell>
          <cell r="Z104">
            <v>783.82099687931031</v>
          </cell>
          <cell r="AA104">
            <v>1.0799806940923621E-2</v>
          </cell>
          <cell r="AB104">
            <v>0.10454798587534966</v>
          </cell>
          <cell r="AC104">
            <v>1.0851244291694264E-3</v>
          </cell>
          <cell r="AD104">
            <v>1.0504592731553014E-2</v>
          </cell>
          <cell r="AE104">
            <v>7.6826079034522784E-3</v>
          </cell>
          <cell r="AF104">
            <v>0.73135704541650237</v>
          </cell>
          <cell r="AG104">
            <v>12.641374999999998</v>
          </cell>
          <cell r="AH104">
            <v>1.6190500000000001</v>
          </cell>
          <cell r="AI104">
            <v>-3.8943225000000004</v>
          </cell>
        </row>
        <row r="105">
          <cell r="K105">
            <v>12.3451</v>
          </cell>
          <cell r="L105">
            <v>12.450699999999999</v>
          </cell>
          <cell r="M105">
            <v>12.864599999999999</v>
          </cell>
          <cell r="N105">
            <v>12.8841</v>
          </cell>
          <cell r="O105">
            <v>1.7022299999999999</v>
          </cell>
          <cell r="P105">
            <v>1.5138100000000001</v>
          </cell>
          <cell r="Q105">
            <v>1.5503</v>
          </cell>
          <cell r="R105">
            <v>1.6987399999999999</v>
          </cell>
          <cell r="S105">
            <v>-4.0378400000000001</v>
          </cell>
          <cell r="T105">
            <v>-3.2976000000000001</v>
          </cell>
          <cell r="U105">
            <v>-4.0656999999999996</v>
          </cell>
          <cell r="V105">
            <v>-4.1509</v>
          </cell>
          <cell r="Y105">
            <v>1418.4945315948275</v>
          </cell>
          <cell r="Z105">
            <v>786.26206738793098</v>
          </cell>
          <cell r="AA105">
            <v>1.0871559746464868E-2</v>
          </cell>
          <cell r="AB105">
            <v>0.10524259193092805</v>
          </cell>
          <cell r="AC105">
            <v>1.0874038204927753E-3</v>
          </cell>
          <cell r="AD105">
            <v>1.0526658475244678E-2</v>
          </cell>
          <cell r="AE105">
            <v>7.7592986173423556E-3</v>
          </cell>
          <cell r="AF105">
            <v>0.73710937194264781</v>
          </cell>
          <cell r="AG105">
            <v>12.636125</v>
          </cell>
          <cell r="AH105">
            <v>1.6162699999999999</v>
          </cell>
          <cell r="AI105">
            <v>-3.88801</v>
          </cell>
        </row>
        <row r="106">
          <cell r="K106">
            <v>13.345800000000001</v>
          </cell>
          <cell r="L106">
            <v>13.4558</v>
          </cell>
          <cell r="M106">
            <v>13.8584</v>
          </cell>
          <cell r="N106">
            <v>13.855499999999999</v>
          </cell>
          <cell r="O106">
            <v>1.9406000000000001</v>
          </cell>
          <cell r="P106">
            <v>1.7505999999999999</v>
          </cell>
          <cell r="Q106">
            <v>1.77617</v>
          </cell>
          <cell r="R106">
            <v>1.9238</v>
          </cell>
          <cell r="S106">
            <v>-4.7448699999999997</v>
          </cell>
          <cell r="T106">
            <v>-3.9132500000000001</v>
          </cell>
          <cell r="U106">
            <v>-4.6570499999999999</v>
          </cell>
          <cell r="V106">
            <v>-4.9258199999999999</v>
          </cell>
          <cell r="Y106">
            <v>1570.4607222413792</v>
          </cell>
          <cell r="Z106">
            <v>930.24213789655175</v>
          </cell>
          <cell r="AA106">
            <v>1.2033043665617377E-2</v>
          </cell>
          <cell r="AB106">
            <v>0.11648638592078778</v>
          </cell>
          <cell r="AC106">
            <v>1.2861859506745298E-3</v>
          </cell>
          <cell r="AD106">
            <v>1.2450977257255854E-2</v>
          </cell>
          <cell r="AE106">
            <v>9.0354111510842269E-3</v>
          </cell>
          <cell r="AF106">
            <v>0.72567887358550964</v>
          </cell>
          <cell r="AG106">
            <v>13.628874999999999</v>
          </cell>
          <cell r="AH106">
            <v>1.8477925000000002</v>
          </cell>
          <cell r="AI106">
            <v>-4.5602475</v>
          </cell>
        </row>
        <row r="107">
          <cell r="K107">
            <v>13.349399999999999</v>
          </cell>
          <cell r="L107">
            <v>13.458</v>
          </cell>
          <cell r="M107">
            <v>13.8568</v>
          </cell>
          <cell r="N107">
            <v>13.8552</v>
          </cell>
          <cell r="O107">
            <v>1.93299</v>
          </cell>
          <cell r="P107">
            <v>1.7373400000000001</v>
          </cell>
          <cell r="Q107">
            <v>1.7631300000000001</v>
          </cell>
          <cell r="R107">
            <v>1.92262</v>
          </cell>
          <cell r="S107">
            <v>-4.7412799999999997</v>
          </cell>
          <cell r="T107">
            <v>-3.9111199999999999</v>
          </cell>
          <cell r="U107">
            <v>-4.6578600000000003</v>
          </cell>
          <cell r="V107">
            <v>-4.9192499999999999</v>
          </cell>
          <cell r="Y107">
            <v>1561.636912887931</v>
          </cell>
          <cell r="Z107">
            <v>924.87020840517243</v>
          </cell>
          <cell r="AA107">
            <v>1.1960142331121184E-2</v>
          </cell>
          <cell r="AB107">
            <v>0.11578066148229607</v>
          </cell>
          <cell r="AC107">
            <v>1.2781929323688185E-3</v>
          </cell>
          <cell r="AD107">
            <v>1.2373600506958552E-2</v>
          </cell>
          <cell r="AE107">
            <v>8.953425053801525E-3</v>
          </cell>
          <cell r="AF107">
            <v>0.72359092640548561</v>
          </cell>
          <cell r="AG107">
            <v>13.629850000000001</v>
          </cell>
          <cell r="AH107">
            <v>1.8390200000000001</v>
          </cell>
          <cell r="AI107">
            <v>-4.5573774999999994</v>
          </cell>
        </row>
        <row r="108">
          <cell r="K108">
            <v>13.350300000000001</v>
          </cell>
          <cell r="L108">
            <v>13.457000000000001</v>
          </cell>
          <cell r="M108">
            <v>13.8529</v>
          </cell>
          <cell r="N108">
            <v>13.851599999999999</v>
          </cell>
          <cell r="O108">
            <v>1.9323600000000001</v>
          </cell>
          <cell r="P108">
            <v>1.7445600000000001</v>
          </cell>
          <cell r="Q108">
            <v>1.77041</v>
          </cell>
          <cell r="R108">
            <v>1.9166399999999999</v>
          </cell>
          <cell r="S108">
            <v>-4.6990999999999996</v>
          </cell>
          <cell r="T108">
            <v>-3.8946800000000001</v>
          </cell>
          <cell r="U108">
            <v>-4.6506100000000004</v>
          </cell>
          <cell r="V108">
            <v>-4.8748300000000002</v>
          </cell>
          <cell r="Y108">
            <v>1564.7831035344827</v>
          </cell>
          <cell r="Z108">
            <v>924.76027891379306</v>
          </cell>
          <cell r="AA108">
            <v>1.1986297502021947E-2</v>
          </cell>
          <cell r="AB108">
            <v>0.11603385771560451</v>
          </cell>
          <cell r="AC108">
            <v>1.2782606258561959E-3</v>
          </cell>
          <cell r="AD108">
            <v>1.2374255816613706E-2</v>
          </cell>
          <cell r="AE108">
            <v>8.9828109513363456E-3</v>
          </cell>
          <cell r="AF108">
            <v>0.72592736763014076</v>
          </cell>
          <cell r="AG108">
            <v>13.62795</v>
          </cell>
          <cell r="AH108">
            <v>1.8409925</v>
          </cell>
          <cell r="AI108">
            <v>-4.5298049999999996</v>
          </cell>
        </row>
        <row r="109">
          <cell r="K109">
            <v>13.3429</v>
          </cell>
          <cell r="L109">
            <v>13.4542</v>
          </cell>
          <cell r="M109">
            <v>13.8499</v>
          </cell>
          <cell r="N109">
            <v>13.8462</v>
          </cell>
          <cell r="O109">
            <v>1.9254899999999999</v>
          </cell>
          <cell r="P109">
            <v>1.7436400000000001</v>
          </cell>
          <cell r="Q109">
            <v>1.77674</v>
          </cell>
          <cell r="R109">
            <v>1.9239299999999999</v>
          </cell>
          <cell r="S109">
            <v>-4.7016200000000001</v>
          </cell>
          <cell r="T109">
            <v>-3.8967499999999999</v>
          </cell>
          <cell r="U109">
            <v>-4.6506999999999996</v>
          </cell>
          <cell r="V109">
            <v>-4.8916899999999996</v>
          </cell>
          <cell r="Y109">
            <v>1574.5292941810346</v>
          </cell>
          <cell r="Z109">
            <v>930.41034942241379</v>
          </cell>
          <cell r="AA109">
            <v>1.2066809830788672E-2</v>
          </cell>
          <cell r="AB109">
            <v>0.1168132607046338</v>
          </cell>
          <cell r="AC109">
            <v>1.2866949470772273E-3</v>
          </cell>
          <cell r="AD109">
            <v>1.2455904618366188E-2</v>
          </cell>
          <cell r="AE109">
            <v>9.0734694916543516E-3</v>
          </cell>
          <cell r="AF109">
            <v>0.72844725209886019</v>
          </cell>
          <cell r="AG109">
            <v>13.6233</v>
          </cell>
          <cell r="AH109">
            <v>1.8424499999999999</v>
          </cell>
          <cell r="AI109">
            <v>-4.5351900000000001</v>
          </cell>
        </row>
        <row r="110">
          <cell r="K110">
            <v>13.363300000000001</v>
          </cell>
          <cell r="L110">
            <v>13.464399999999999</v>
          </cell>
          <cell r="M110">
            <v>13.855499999999999</v>
          </cell>
          <cell r="N110">
            <v>13.8582</v>
          </cell>
          <cell r="O110">
            <v>1.9075800000000001</v>
          </cell>
          <cell r="P110">
            <v>1.7158800000000001</v>
          </cell>
          <cell r="Q110">
            <v>1.74186</v>
          </cell>
          <cell r="R110">
            <v>1.90551</v>
          </cell>
          <cell r="S110">
            <v>-4.6976500000000003</v>
          </cell>
          <cell r="T110">
            <v>-3.8939499999999998</v>
          </cell>
          <cell r="U110">
            <v>-4.6504500000000002</v>
          </cell>
          <cell r="V110">
            <v>-4.8684900000000004</v>
          </cell>
          <cell r="Y110">
            <v>1533.0154848275863</v>
          </cell>
          <cell r="Z110">
            <v>906.97241993103444</v>
          </cell>
          <cell r="AA110">
            <v>1.1732295406044856E-2</v>
          </cell>
          <cell r="AB110">
            <v>0.11357497972937905</v>
          </cell>
          <cell r="AC110">
            <v>1.2525349938083297E-3</v>
          </cell>
          <cell r="AD110">
            <v>1.2125217752258758E-2</v>
          </cell>
          <cell r="AE110">
            <v>8.6987963764234427E-3</v>
          </cell>
          <cell r="AF110">
            <v>0.71741362127727393</v>
          </cell>
          <cell r="AG110">
            <v>13.635349999999999</v>
          </cell>
          <cell r="AH110">
            <v>1.8177075</v>
          </cell>
          <cell r="AI110">
            <v>-4.5276350000000001</v>
          </cell>
        </row>
        <row r="111">
          <cell r="K111">
            <v>13.3582</v>
          </cell>
          <cell r="L111">
            <v>13.461499999999999</v>
          </cell>
          <cell r="M111">
            <v>13.856400000000001</v>
          </cell>
          <cell r="N111">
            <v>13.856999999999999</v>
          </cell>
          <cell r="O111">
            <v>1.8867</v>
          </cell>
          <cell r="P111">
            <v>1.7130000000000001</v>
          </cell>
          <cell r="Q111">
            <v>1.7410099999999999</v>
          </cell>
          <cell r="R111">
            <v>1.8943099999999999</v>
          </cell>
          <cell r="S111">
            <v>-4.7308399999999997</v>
          </cell>
          <cell r="T111">
            <v>-3.9277799999999998</v>
          </cell>
          <cell r="U111">
            <v>-4.6654900000000001</v>
          </cell>
          <cell r="V111">
            <v>-4.8963299999999998</v>
          </cell>
          <cell r="Y111">
            <v>1538.0816754741379</v>
          </cell>
          <cell r="Z111">
            <v>910.59949043965514</v>
          </cell>
          <cell r="AA111">
            <v>1.1777187370051375E-2</v>
          </cell>
          <cell r="AB111">
            <v>0.11400955827736084</v>
          </cell>
          <cell r="AC111">
            <v>1.2581978216778021E-3</v>
          </cell>
          <cell r="AD111">
            <v>1.2180036995912896E-2</v>
          </cell>
          <cell r="AE111">
            <v>8.7487711711787767E-3</v>
          </cell>
          <cell r="AF111">
            <v>0.71828773378229427</v>
          </cell>
          <cell r="AG111">
            <v>13.633274999999999</v>
          </cell>
          <cell r="AH111">
            <v>1.8087550000000001</v>
          </cell>
          <cell r="AI111">
            <v>-4.55511</v>
          </cell>
        </row>
        <row r="112">
          <cell r="K112">
            <v>13.350899999999999</v>
          </cell>
          <cell r="L112">
            <v>13.457100000000001</v>
          </cell>
          <cell r="M112">
            <v>13.85</v>
          </cell>
          <cell r="N112">
            <v>13.8499</v>
          </cell>
          <cell r="O112">
            <v>1.89439</v>
          </cell>
          <cell r="P112">
            <v>1.7184299999999999</v>
          </cell>
          <cell r="Q112">
            <v>1.7452799999999999</v>
          </cell>
          <cell r="R112">
            <v>1.8923099999999999</v>
          </cell>
          <cell r="S112">
            <v>-4.7232700000000003</v>
          </cell>
          <cell r="T112">
            <v>-3.9174799999999999</v>
          </cell>
          <cell r="U112">
            <v>-4.6659300000000004</v>
          </cell>
          <cell r="V112">
            <v>-4.8672399999999998</v>
          </cell>
          <cell r="Y112">
            <v>1554.0178661206896</v>
          </cell>
          <cell r="Z112">
            <v>919.10456094827589</v>
          </cell>
          <cell r="AA112">
            <v>1.191668683691146E-2</v>
          </cell>
          <cell r="AB112">
            <v>0.11535998874067241</v>
          </cell>
          <cell r="AC112">
            <v>1.2718145226233526E-3</v>
          </cell>
          <cell r="AD112">
            <v>1.2311854042820451E-2</v>
          </cell>
          <cell r="AE112">
            <v>8.9046728893954347E-3</v>
          </cell>
          <cell r="AF112">
            <v>0.72326010838214216</v>
          </cell>
          <cell r="AG112">
            <v>13.626975</v>
          </cell>
          <cell r="AH112">
            <v>1.8126025000000001</v>
          </cell>
          <cell r="AI112">
            <v>-4.5434799999999997</v>
          </cell>
        </row>
        <row r="113">
          <cell r="K113">
            <v>13.3567</v>
          </cell>
          <cell r="L113">
            <v>13.4658</v>
          </cell>
          <cell r="M113">
            <v>13.8574</v>
          </cell>
          <cell r="N113">
            <v>13.856199999999999</v>
          </cell>
          <cell r="O113">
            <v>1.9258999999999999</v>
          </cell>
          <cell r="P113">
            <v>1.74481</v>
          </cell>
          <cell r="Q113">
            <v>1.7684299999999999</v>
          </cell>
          <cell r="R113">
            <v>1.92706</v>
          </cell>
          <cell r="S113">
            <v>-4.7278900000000004</v>
          </cell>
          <cell r="T113">
            <v>-3.9197099999999998</v>
          </cell>
          <cell r="U113">
            <v>-4.6669799999999997</v>
          </cell>
          <cell r="V113">
            <v>-4.89588</v>
          </cell>
          <cell r="Y113">
            <v>1560.4440567672414</v>
          </cell>
          <cell r="Z113">
            <v>924.60363145689655</v>
          </cell>
          <cell r="AA113">
            <v>1.1968812935457939E-2</v>
          </cell>
          <cell r="AB113">
            <v>0.11586459763270028</v>
          </cell>
          <cell r="AC113">
            <v>1.279728406424893E-3</v>
          </cell>
          <cell r="AD113">
            <v>1.2388464728217745E-2</v>
          </cell>
          <cell r="AE113">
            <v>8.963163107769052E-3</v>
          </cell>
          <cell r="AF113">
            <v>0.72350878857113465</v>
          </cell>
          <cell r="AG113">
            <v>13.634024999999999</v>
          </cell>
          <cell r="AH113">
            <v>1.84155</v>
          </cell>
          <cell r="AI113">
            <v>-4.5526149999999994</v>
          </cell>
        </row>
        <row r="114">
          <cell r="K114">
            <v>13.336600000000001</v>
          </cell>
          <cell r="L114">
            <v>13.4511</v>
          </cell>
          <cell r="M114">
            <v>13.8484</v>
          </cell>
          <cell r="N114">
            <v>13.845700000000001</v>
          </cell>
          <cell r="O114">
            <v>1.91459</v>
          </cell>
          <cell r="P114">
            <v>1.7449699999999999</v>
          </cell>
          <cell r="Q114">
            <v>1.7692099999999999</v>
          </cell>
          <cell r="R114">
            <v>1.91411</v>
          </cell>
          <cell r="S114">
            <v>-4.7463100000000003</v>
          </cell>
          <cell r="T114">
            <v>-3.9273500000000001</v>
          </cell>
          <cell r="U114">
            <v>-4.6703299999999999</v>
          </cell>
          <cell r="V114">
            <v>-4.94815</v>
          </cell>
          <cell r="Y114">
            <v>1581.6102474137931</v>
          </cell>
          <cell r="Z114">
            <v>934.62770196551719</v>
          </cell>
          <cell r="AA114">
            <v>1.2135868071322333E-2</v>
          </cell>
          <cell r="AB114">
            <v>0.11748178191018716</v>
          </cell>
          <cell r="AC114">
            <v>1.2941045529231568E-3</v>
          </cell>
          <cell r="AD114">
            <v>1.2527633619778865E-2</v>
          </cell>
          <cell r="AE114">
            <v>9.1514719004368705E-3</v>
          </cell>
          <cell r="AF114">
            <v>0.73050283702329488</v>
          </cell>
          <cell r="AG114">
            <v>13.62045</v>
          </cell>
          <cell r="AH114">
            <v>1.83572</v>
          </cell>
          <cell r="AI114">
            <v>-4.573035</v>
          </cell>
        </row>
        <row r="115">
          <cell r="K115">
            <v>13.347</v>
          </cell>
          <cell r="L115">
            <v>13.456300000000001</v>
          </cell>
          <cell r="M115">
            <v>13.8536</v>
          </cell>
          <cell r="N115">
            <v>13.8544</v>
          </cell>
          <cell r="O115">
            <v>1.92397</v>
          </cell>
          <cell r="P115">
            <v>1.7502500000000001</v>
          </cell>
          <cell r="Q115">
            <v>1.78145</v>
          </cell>
          <cell r="R115">
            <v>1.9338</v>
          </cell>
          <cell r="S115">
            <v>-4.74519</v>
          </cell>
          <cell r="T115">
            <v>-3.9234100000000001</v>
          </cell>
          <cell r="U115">
            <v>-4.6699299999999999</v>
          </cell>
          <cell r="V115">
            <v>-4.92441</v>
          </cell>
          <cell r="Y115">
            <v>1571.3664380603448</v>
          </cell>
          <cell r="Z115">
            <v>928.58277247413798</v>
          </cell>
          <cell r="AA115">
            <v>1.2059709886454231E-2</v>
          </cell>
          <cell r="AB115">
            <v>0.11674452939452305</v>
          </cell>
          <cell r="AC115">
            <v>1.2859952041347623E-3</v>
          </cell>
          <cell r="AD115">
            <v>1.244913072734523E-2</v>
          </cell>
          <cell r="AE115">
            <v>9.0654626134289897E-3</v>
          </cell>
          <cell r="AF115">
            <v>0.72820045125851085</v>
          </cell>
          <cell r="AG115">
            <v>13.627825</v>
          </cell>
          <cell r="AH115">
            <v>1.8473674999999998</v>
          </cell>
          <cell r="AI115">
            <v>-4.5657350000000001</v>
          </cell>
        </row>
        <row r="116">
          <cell r="K116">
            <v>1.8830199999999999</v>
          </cell>
          <cell r="L116">
            <v>1.9071499999999999</v>
          </cell>
          <cell r="M116">
            <v>2.4438900000000001</v>
          </cell>
          <cell r="N116">
            <v>2.2680199999999999</v>
          </cell>
          <cell r="O116">
            <v>-0.14424899999999999</v>
          </cell>
          <cell r="P116">
            <v>-0.36258299999999999</v>
          </cell>
          <cell r="Q116">
            <v>-0.29482399999999997</v>
          </cell>
          <cell r="R116">
            <v>-0.10863399999999999</v>
          </cell>
          <cell r="S116">
            <v>-0.55308999999999997</v>
          </cell>
          <cell r="T116">
            <v>-0.20640900000000001</v>
          </cell>
          <cell r="U116">
            <v>-1.0822000000000001</v>
          </cell>
          <cell r="V116">
            <v>-0.99255099999999996</v>
          </cell>
          <cell r="Y116">
            <v>186.34762870689656</v>
          </cell>
          <cell r="Z116">
            <v>107.47484298275862</v>
          </cell>
          <cell r="AA116">
            <v>1.414111776603407E-3</v>
          </cell>
          <cell r="AB116">
            <v>1.36893686021627E-2</v>
          </cell>
          <cell r="AC116">
            <v>1.4717228309904669E-4</v>
          </cell>
          <cell r="AD116">
            <v>1.4247074840178769E-3</v>
          </cell>
          <cell r="AE116">
            <v>3.6400746420723348E-4</v>
          </cell>
          <cell r="AF116">
            <v>0.25549628137046132</v>
          </cell>
          <cell r="AG116">
            <v>2.1255199999999999</v>
          </cell>
          <cell r="AH116">
            <v>-0.22757249999999998</v>
          </cell>
          <cell r="AI116">
            <v>-0.70856249999999998</v>
          </cell>
        </row>
        <row r="117">
          <cell r="K117">
            <v>1.8138000000000001</v>
          </cell>
          <cell r="L117">
            <v>2.1028500000000001</v>
          </cell>
          <cell r="M117">
            <v>2.2901799999999999</v>
          </cell>
          <cell r="N117">
            <v>2.1736399999999998</v>
          </cell>
          <cell r="O117">
            <v>1.7963400000000001E-2</v>
          </cell>
          <cell r="P117">
            <v>-0.31157400000000002</v>
          </cell>
          <cell r="Q117">
            <v>-0.22273499999999999</v>
          </cell>
          <cell r="R117">
            <v>-0.16372100000000001</v>
          </cell>
          <cell r="S117">
            <v>-0.247584</v>
          </cell>
          <cell r="T117">
            <v>1.46465E-2</v>
          </cell>
          <cell r="U117">
            <v>-0.841167</v>
          </cell>
          <cell r="V117">
            <v>-0.88831300000000002</v>
          </cell>
          <cell r="Y117">
            <v>50.855719353448272</v>
          </cell>
          <cell r="Z117">
            <v>29.85831349137931</v>
          </cell>
          <cell r="AA117">
            <v>1.6917428074248891E-3</v>
          </cell>
          <cell r="AB117">
            <v>1.6376987487172208E-2</v>
          </cell>
          <cell r="AC117">
            <v>1.792334852948772E-4</v>
          </cell>
          <cell r="AD117">
            <v>1.7350773019833223E-3</v>
          </cell>
          <cell r="AE117">
            <v>4.7630614959849241E-4</v>
          </cell>
          <cell r="AF117">
            <v>0.27451580921151991</v>
          </cell>
          <cell r="AG117">
            <v>2.0951174999999997</v>
          </cell>
          <cell r="AH117">
            <v>-0.17001664999999999</v>
          </cell>
          <cell r="AI117">
            <v>-0.49060437499999998</v>
          </cell>
        </row>
        <row r="118">
          <cell r="K118">
            <v>2.0280100000000001</v>
          </cell>
          <cell r="L118">
            <v>2.55315</v>
          </cell>
          <cell r="M118">
            <v>2.75122</v>
          </cell>
          <cell r="N118">
            <v>2.4464899999999998</v>
          </cell>
          <cell r="O118">
            <v>-6.59084</v>
          </cell>
          <cell r="P118">
            <v>-5.4166600000000003</v>
          </cell>
          <cell r="Q118">
            <v>-6.6978099999999996</v>
          </cell>
          <cell r="R118">
            <v>-7.0075500000000002</v>
          </cell>
          <cell r="S118">
            <v>0.88275700000000001</v>
          </cell>
          <cell r="T118">
            <v>0.73501099999999997</v>
          </cell>
          <cell r="U118">
            <v>0.56228699999999998</v>
          </cell>
          <cell r="V118">
            <v>0.81096599999999996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 t="e">
            <v>#DIV/0!</v>
          </cell>
          <cell r="AG118">
            <v>2.4447175000000003</v>
          </cell>
          <cell r="AH118">
            <v>-6.4282149999999998</v>
          </cell>
          <cell r="AI118">
            <v>0.74775524999999998</v>
          </cell>
        </row>
      </sheetData>
      <sheetData sheetId="2"/>
      <sheetData sheetId="3">
        <row r="2">
          <cell r="A2" t="str">
            <v>R48M675TH04</v>
          </cell>
          <cell r="D2">
            <v>4</v>
          </cell>
        </row>
        <row r="3">
          <cell r="A3" t="str">
            <v>R48M675TH05</v>
          </cell>
        </row>
        <row r="4">
          <cell r="A4" t="str">
            <v>R48M675TH06</v>
          </cell>
        </row>
        <row r="5">
          <cell r="A5" t="str">
            <v>R48M675TH07</v>
          </cell>
        </row>
        <row r="6">
          <cell r="A6" t="str">
            <v>R48M675TH08</v>
          </cell>
        </row>
        <row r="7">
          <cell r="A7" t="str">
            <v>R48M675TH09</v>
          </cell>
        </row>
        <row r="8">
          <cell r="A8" t="str">
            <v>R48M675TH10</v>
          </cell>
        </row>
        <row r="9">
          <cell r="A9" t="str">
            <v>R48M675TH11</v>
          </cell>
        </row>
        <row r="10">
          <cell r="A10" t="str">
            <v>R48M675TH12</v>
          </cell>
        </row>
        <row r="11">
          <cell r="A11" t="str">
            <v>R48M675TH13</v>
          </cell>
        </row>
        <row r="12">
          <cell r="A12" t="str">
            <v>R48M675TH14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1770-2CEB-41E5-A944-E96658BCDB10}">
  <dimension ref="A1:AF12"/>
  <sheetViews>
    <sheetView workbookViewId="0">
      <selection sqref="A1:Y12"/>
    </sheetView>
  </sheetViews>
  <sheetFormatPr defaultRowHeight="14.4" x14ac:dyDescent="0.3"/>
  <cols>
    <col min="1" max="1" width="13.33203125" bestFit="1" customWidth="1"/>
    <col min="2" max="2" width="9.5546875" bestFit="1" customWidth="1"/>
    <col min="3" max="3" width="9.33203125" bestFit="1" customWidth="1"/>
    <col min="4" max="7" width="9.5546875" bestFit="1" customWidth="1"/>
    <col min="8" max="8" width="9.33203125" bestFit="1" customWidth="1"/>
    <col min="9" max="15" width="9.5546875" bestFit="1" customWidth="1"/>
    <col min="16" max="19" width="10" bestFit="1" customWidth="1"/>
    <col min="20" max="24" width="10.33203125" bestFit="1" customWidth="1"/>
    <col min="25" max="32" width="12" bestFit="1" customWidth="1"/>
  </cols>
  <sheetData>
    <row r="1" spans="1:32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</row>
    <row r="2" spans="1:32" x14ac:dyDescent="0.3">
      <c r="A2" t="s">
        <v>33</v>
      </c>
      <c r="B2" s="3">
        <v>1286.9740000000002</v>
      </c>
      <c r="C2" s="4">
        <v>0.67543259999999994</v>
      </c>
      <c r="D2">
        <v>4</v>
      </c>
      <c r="E2" s="1">
        <v>2123.8339999999998</v>
      </c>
      <c r="F2" s="1">
        <v>49.10598000000001</v>
      </c>
      <c r="G2" s="1">
        <v>69.590879999999999</v>
      </c>
      <c r="H2" s="2">
        <v>2.4242949999999995E-3</v>
      </c>
      <c r="I2" s="1">
        <v>1105.7490000000003</v>
      </c>
      <c r="J2" s="1">
        <v>3.5914769999999998</v>
      </c>
      <c r="K2" s="1">
        <v>3.8511480000000007</v>
      </c>
      <c r="L2" s="1">
        <v>4.1313359999999992</v>
      </c>
      <c r="M2" s="1">
        <v>0</v>
      </c>
      <c r="N2" s="1">
        <v>3.8579870000000001</v>
      </c>
      <c r="O2" s="1">
        <v>4.6324287999999995E-3</v>
      </c>
      <c r="P2" s="1">
        <v>-0.14891840000000001</v>
      </c>
      <c r="Q2" s="1">
        <v>-0.19315559999999998</v>
      </c>
      <c r="R2" s="1">
        <v>-9.400087E-2</v>
      </c>
      <c r="S2" s="1">
        <v>-0.12145963500000001</v>
      </c>
      <c r="T2" s="1">
        <v>-0.35560920000000001</v>
      </c>
      <c r="U2" s="1">
        <v>-0.12411019999999999</v>
      </c>
      <c r="V2" s="1">
        <v>-0.89016840000000008</v>
      </c>
      <c r="W2" s="1">
        <v>-1.5118260000000001</v>
      </c>
      <c r="X2" s="1">
        <v>-0.72042845</v>
      </c>
      <c r="Y2" s="5">
        <v>346.44952484913796</v>
      </c>
      <c r="Z2" s="5">
        <v>151.43583381465518</v>
      </c>
      <c r="AA2" s="2">
        <v>2.6554909849716922E-3</v>
      </c>
      <c r="AB2" s="2">
        <v>2.5706592303694986E-2</v>
      </c>
      <c r="AC2" s="2">
        <v>2.0945604429959281E-4</v>
      </c>
      <c r="AD2" s="2">
        <v>2.0276480571112566E-3</v>
      </c>
      <c r="AE2" s="2">
        <v>9.3672735031639378E-4</v>
      </c>
      <c r="AF2" s="4">
        <v>0.46196074664859516</v>
      </c>
    </row>
    <row r="3" spans="1:32" x14ac:dyDescent="0.3">
      <c r="A3" t="s">
        <v>34</v>
      </c>
      <c r="B3" s="3">
        <v>1286.7900000000002</v>
      </c>
      <c r="C3" s="4">
        <v>0.6750121</v>
      </c>
      <c r="D3">
        <v>5</v>
      </c>
      <c r="E3" s="1">
        <v>2123.761</v>
      </c>
      <c r="F3" s="1">
        <v>49.595320000000001</v>
      </c>
      <c r="G3" s="1">
        <v>68.585059999999999</v>
      </c>
      <c r="H3" s="2">
        <v>2.4218559999999996E-3</v>
      </c>
      <c r="I3" s="1">
        <v>1106.2819999999999</v>
      </c>
      <c r="J3" s="1">
        <v>4.4572750000000001</v>
      </c>
      <c r="K3" s="1">
        <v>4.8155519999999994</v>
      </c>
      <c r="L3" s="1">
        <v>5.106179</v>
      </c>
      <c r="M3" s="1">
        <v>0</v>
      </c>
      <c r="N3" s="1">
        <v>4.7930020000000004</v>
      </c>
      <c r="O3" s="1">
        <v>0.16898920000000001</v>
      </c>
      <c r="P3" s="1">
        <v>1.6601990399999998E-3</v>
      </c>
      <c r="Q3" s="1">
        <v>-3.6969750000000003E-2</v>
      </c>
      <c r="R3" s="1">
        <v>7.0912740000000002E-2</v>
      </c>
      <c r="S3" s="1">
        <v>3.6286469520000003E-2</v>
      </c>
      <c r="T3" s="1">
        <v>-0.54852769999999995</v>
      </c>
      <c r="U3" s="1">
        <v>-0.1277933</v>
      </c>
      <c r="V3" s="1">
        <v>-0.88402010000000009</v>
      </c>
      <c r="W3" s="1">
        <v>-1.548683</v>
      </c>
      <c r="X3" s="1">
        <v>-0.77725602500000002</v>
      </c>
      <c r="Y3" s="5">
        <v>436.26363131465524</v>
      </c>
      <c r="Z3" s="5">
        <v>183.86633890086208</v>
      </c>
      <c r="AA3" s="2">
        <v>3.348233363370872E-3</v>
      </c>
      <c r="AB3" s="2">
        <v>3.2412714069417925E-2</v>
      </c>
      <c r="AC3" s="2">
        <v>2.5464096386939959E-4</v>
      </c>
      <c r="AD3" s="2">
        <v>2.4650625737599194E-3</v>
      </c>
      <c r="AE3" s="2">
        <v>1.3262139595478753E-3</v>
      </c>
      <c r="AF3" s="4">
        <v>0.53799795486939295</v>
      </c>
    </row>
    <row r="4" spans="1:32" x14ac:dyDescent="0.3">
      <c r="A4" t="s">
        <v>35</v>
      </c>
      <c r="B4" s="3">
        <v>1287.1479999999997</v>
      </c>
      <c r="C4" s="4">
        <v>0.67496650000000014</v>
      </c>
      <c r="D4">
        <v>6</v>
      </c>
      <c r="E4" s="1">
        <v>2123.473</v>
      </c>
      <c r="F4" s="1">
        <v>49.947040000000001</v>
      </c>
      <c r="G4" s="1">
        <v>67.808840000000004</v>
      </c>
      <c r="H4" s="2">
        <v>2.4198410000000003E-3</v>
      </c>
      <c r="I4" s="1">
        <v>1106.664</v>
      </c>
      <c r="J4" s="1">
        <v>5.3520390000000004</v>
      </c>
      <c r="K4" s="1">
        <v>5.774807</v>
      </c>
      <c r="L4" s="1">
        <v>6.0520230000000002</v>
      </c>
      <c r="M4" s="1">
        <v>0</v>
      </c>
      <c r="N4" s="1">
        <v>5.7262896666666663</v>
      </c>
      <c r="O4" s="1">
        <v>0.35106159999999997</v>
      </c>
      <c r="P4" s="1">
        <v>0.1662671</v>
      </c>
      <c r="Q4" s="1">
        <v>0.12565787999999997</v>
      </c>
      <c r="R4" s="1">
        <v>0.2606871</v>
      </c>
      <c r="S4" s="1">
        <v>0.2134771</v>
      </c>
      <c r="T4" s="1">
        <v>-0.88291430000000004</v>
      </c>
      <c r="U4" s="1">
        <v>-0.34706719999999996</v>
      </c>
      <c r="V4" s="1">
        <v>-1.0057914000000001</v>
      </c>
      <c r="W4" s="1">
        <v>-1.7579670000000001</v>
      </c>
      <c r="X4" s="1">
        <v>-0.99843497500000011</v>
      </c>
      <c r="Y4" s="5">
        <v>538.20173778017249</v>
      </c>
      <c r="Z4" s="5">
        <v>223.19254398706894</v>
      </c>
      <c r="AA4" s="2">
        <v>4.1317280017652462E-3</v>
      </c>
      <c r="AB4" s="2">
        <v>3.999736690963452E-2</v>
      </c>
      <c r="AC4" s="2">
        <v>3.0919017407402439E-4</v>
      </c>
      <c r="AD4" s="2">
        <v>2.9931285002325683E-3</v>
      </c>
      <c r="AE4" s="2">
        <v>1.8179984199543757E-3</v>
      </c>
      <c r="AF4" s="4">
        <v>0.60736883735159064</v>
      </c>
    </row>
    <row r="5" spans="1:32" x14ac:dyDescent="0.3">
      <c r="A5" t="s">
        <v>36</v>
      </c>
      <c r="B5" s="3">
        <v>1287.8418181818181</v>
      </c>
      <c r="C5" s="4">
        <v>0.67509218181818176</v>
      </c>
      <c r="D5">
        <v>7</v>
      </c>
      <c r="E5" s="1">
        <v>2123.3645454545458</v>
      </c>
      <c r="F5" s="1">
        <v>50.306927272727265</v>
      </c>
      <c r="G5" s="1">
        <v>67.186327272727269</v>
      </c>
      <c r="H5" s="2">
        <v>2.4179763636363641E-3</v>
      </c>
      <c r="I5" s="1">
        <v>1107.0545454545454</v>
      </c>
      <c r="J5" s="1">
        <v>6.2662018181818189</v>
      </c>
      <c r="K5" s="1">
        <v>6.7344981818181813</v>
      </c>
      <c r="L5" s="1">
        <v>6.9932627272727279</v>
      </c>
      <c r="M5" s="1">
        <v>0</v>
      </c>
      <c r="N5" s="1">
        <v>6.6646542424242421</v>
      </c>
      <c r="O5" s="1">
        <v>0.50135072727272734</v>
      </c>
      <c r="P5" s="1">
        <v>0.32139436363636364</v>
      </c>
      <c r="Q5" s="1">
        <v>0.28876881818181815</v>
      </c>
      <c r="R5" s="1">
        <v>0.41843018181818187</v>
      </c>
      <c r="S5" s="1">
        <v>0.36991227272727278</v>
      </c>
      <c r="T5" s="1">
        <v>-1.1082870909090909</v>
      </c>
      <c r="U5" s="1">
        <v>-0.53358136363636366</v>
      </c>
      <c r="V5" s="1">
        <v>-1.2137181818181817</v>
      </c>
      <c r="W5" s="1">
        <v>-1.9126399999999999</v>
      </c>
      <c r="X5" s="1">
        <v>-1.192056659090909</v>
      </c>
      <c r="Y5" s="5">
        <v>639.8118668416929</v>
      </c>
      <c r="Z5" s="5">
        <v>268.60793887304067</v>
      </c>
      <c r="AA5" s="2">
        <v>4.9102702259186696E-3</v>
      </c>
      <c r="AB5" s="2">
        <v>4.7534077695243648E-2</v>
      </c>
      <c r="AC5" s="2">
        <v>3.7199002874331209E-4</v>
      </c>
      <c r="AD5" s="2">
        <v>3.6010651378829816E-3</v>
      </c>
      <c r="AE5" s="2">
        <v>2.3553000049211579E-3</v>
      </c>
      <c r="AF5" s="4">
        <v>0.65405606343107214</v>
      </c>
    </row>
    <row r="6" spans="1:32" x14ac:dyDescent="0.3">
      <c r="A6" t="s">
        <v>37</v>
      </c>
      <c r="B6" s="3">
        <v>1288.4020000000003</v>
      </c>
      <c r="C6" s="4">
        <v>0.67512289999999986</v>
      </c>
      <c r="D6">
        <v>8</v>
      </c>
      <c r="E6" s="1">
        <v>2123.462</v>
      </c>
      <c r="F6" s="1">
        <v>50.703490000000002</v>
      </c>
      <c r="G6" s="1">
        <v>66.593679999999992</v>
      </c>
      <c r="H6" s="2">
        <v>2.4161649999999996E-3</v>
      </c>
      <c r="I6" s="1">
        <v>1107.4860000000001</v>
      </c>
      <c r="J6" s="1">
        <v>7.2463539999999993</v>
      </c>
      <c r="K6" s="1">
        <v>7.6861470000000001</v>
      </c>
      <c r="L6" s="1">
        <v>7.9373129999999987</v>
      </c>
      <c r="M6" s="1">
        <v>7.8374055555555566</v>
      </c>
      <c r="N6" s="1">
        <v>7.6768048888888885</v>
      </c>
      <c r="O6" s="1">
        <v>0.69486459999999994</v>
      </c>
      <c r="P6" s="1">
        <v>0.49769740000000001</v>
      </c>
      <c r="Q6" s="1">
        <v>0.47076649999999998</v>
      </c>
      <c r="R6" s="1">
        <v>0.62482779999999993</v>
      </c>
      <c r="S6" s="1">
        <v>0.56126259999999994</v>
      </c>
      <c r="T6" s="1">
        <v>-1.4654320000000001</v>
      </c>
      <c r="U6" s="1">
        <v>-0.88700749999999995</v>
      </c>
      <c r="V6" s="1">
        <v>-1.576333</v>
      </c>
      <c r="W6" s="1">
        <v>-2.1722700000000001</v>
      </c>
      <c r="X6" s="1">
        <v>-1.525260625</v>
      </c>
      <c r="Y6" s="5">
        <v>756.22354135775868</v>
      </c>
      <c r="Z6" s="5">
        <v>324.53952466810341</v>
      </c>
      <c r="AA6" s="2">
        <v>5.8029857490768579E-3</v>
      </c>
      <c r="AB6" s="2">
        <v>5.6176047909746937E-2</v>
      </c>
      <c r="AC6" s="2">
        <v>4.4939501737951667E-4</v>
      </c>
      <c r="AD6" s="2">
        <v>4.350387389927558E-3</v>
      </c>
      <c r="AE6" s="2">
        <v>3.0260085445415032E-3</v>
      </c>
      <c r="AF6" s="4">
        <v>0.69555862429234816</v>
      </c>
    </row>
    <row r="7" spans="1:32" x14ac:dyDescent="0.3">
      <c r="A7" t="s">
        <v>38</v>
      </c>
      <c r="B7" s="3">
        <v>1288.8239999999998</v>
      </c>
      <c r="C7" s="4">
        <v>0.67516029999999994</v>
      </c>
      <c r="D7">
        <v>9</v>
      </c>
      <c r="E7" s="1">
        <v>2123.835</v>
      </c>
      <c r="F7" s="1">
        <v>50.981520000000003</v>
      </c>
      <c r="G7" s="1">
        <v>66.177179999999993</v>
      </c>
      <c r="H7" s="2">
        <v>2.4152450000000003E-3</v>
      </c>
      <c r="I7" s="1">
        <v>1107.7860000000001</v>
      </c>
      <c r="J7" s="1">
        <v>8.2311300000000003</v>
      </c>
      <c r="K7" s="1">
        <v>8.621848</v>
      </c>
      <c r="L7" s="1">
        <v>8.8899830000000009</v>
      </c>
      <c r="M7" s="1">
        <v>8.9579950000000004</v>
      </c>
      <c r="N7" s="1">
        <v>8.6752390000000013</v>
      </c>
      <c r="O7" s="1">
        <v>0.88237009999999994</v>
      </c>
      <c r="P7" s="1">
        <v>0.68718329999999994</v>
      </c>
      <c r="Q7" s="1">
        <v>0.65827869999999999</v>
      </c>
      <c r="R7" s="1">
        <v>0.82090319999999983</v>
      </c>
      <c r="S7" s="1">
        <v>0.75404324999999983</v>
      </c>
      <c r="T7" s="1">
        <v>-1.8752469999999999</v>
      </c>
      <c r="U7" s="1">
        <v>-1.2425469999999998</v>
      </c>
      <c r="V7" s="1">
        <v>-1.8945219999999998</v>
      </c>
      <c r="W7" s="1">
        <v>-2.4541809999999997</v>
      </c>
      <c r="X7" s="1">
        <v>-1.8666242500000001</v>
      </c>
      <c r="Y7" s="5">
        <v>880.01374782327582</v>
      </c>
      <c r="Z7" s="5">
        <v>392.5751297543103</v>
      </c>
      <c r="AA7" s="2">
        <v>6.7510576438824703E-3</v>
      </c>
      <c r="AB7" s="2">
        <v>6.5353897811059727E-2</v>
      </c>
      <c r="AC7" s="2">
        <v>5.4345605294959447E-4</v>
      </c>
      <c r="AD7" s="2">
        <v>5.2609492057075933E-3</v>
      </c>
      <c r="AE7" s="2">
        <v>3.7970632000828989E-3</v>
      </c>
      <c r="AF7" s="4">
        <v>0.72173437021581344</v>
      </c>
    </row>
    <row r="8" spans="1:32" x14ac:dyDescent="0.3">
      <c r="A8" t="s">
        <v>39</v>
      </c>
      <c r="B8" s="3">
        <v>1288.9330000000002</v>
      </c>
      <c r="C8" s="4">
        <v>0.67505480000000007</v>
      </c>
      <c r="D8">
        <v>10</v>
      </c>
      <c r="E8" s="1">
        <v>2124.1469999999999</v>
      </c>
      <c r="F8" s="1">
        <v>51.227499999999999</v>
      </c>
      <c r="G8" s="1">
        <v>65.828490000000016</v>
      </c>
      <c r="H8" s="2">
        <v>2.4144080000000003E-3</v>
      </c>
      <c r="I8" s="1">
        <v>1108.0529999999999</v>
      </c>
      <c r="J8" s="1">
        <v>9.2588339999999985</v>
      </c>
      <c r="K8" s="1">
        <v>9.5607160000000011</v>
      </c>
      <c r="L8" s="1">
        <v>9.8638790000000007</v>
      </c>
      <c r="M8" s="1">
        <v>9.9434612499999986</v>
      </c>
      <c r="N8" s="1">
        <v>9.6567225625000006</v>
      </c>
      <c r="O8" s="1">
        <v>1.0960890000000001</v>
      </c>
      <c r="P8" s="1">
        <v>0.89046390000000009</v>
      </c>
      <c r="Q8" s="1">
        <v>0.86431779999999991</v>
      </c>
      <c r="R8" s="1">
        <v>1.0423200000000001</v>
      </c>
      <c r="S8" s="1">
        <v>0.96639195000000011</v>
      </c>
      <c r="T8" s="1">
        <v>-2.3327420000000001</v>
      </c>
      <c r="U8" s="1">
        <v>-1.668582</v>
      </c>
      <c r="V8" s="1">
        <v>-2.303496</v>
      </c>
      <c r="W8" s="1">
        <v>-2.7186180000000002</v>
      </c>
      <c r="X8" s="1">
        <v>-2.2558595000000001</v>
      </c>
      <c r="Y8" s="5">
        <v>1011.222554288793</v>
      </c>
      <c r="Z8" s="5">
        <v>472.61903484051726</v>
      </c>
      <c r="AA8" s="2">
        <v>7.7590093601011293E-3</v>
      </c>
      <c r="AB8" s="2">
        <v>7.511141684512225E-2</v>
      </c>
      <c r="AC8" s="2">
        <v>6.5438003257167819E-4</v>
      </c>
      <c r="AD8" s="2">
        <v>6.3347534614876886E-3</v>
      </c>
      <c r="AE8" s="2">
        <v>4.678510492668363E-3</v>
      </c>
      <c r="AF8" s="4">
        <v>0.73851617774082057</v>
      </c>
    </row>
    <row r="9" spans="1:32" x14ac:dyDescent="0.3">
      <c r="A9" t="s">
        <v>40</v>
      </c>
      <c r="B9" s="3">
        <v>1289.6870000000001</v>
      </c>
      <c r="C9" s="4">
        <v>0.67526079999999999</v>
      </c>
      <c r="D9">
        <v>11</v>
      </c>
      <c r="E9" s="1">
        <v>2124.2850000000008</v>
      </c>
      <c r="F9" s="1">
        <v>51.515039999999999</v>
      </c>
      <c r="G9" s="1">
        <v>65.346190000000007</v>
      </c>
      <c r="H9" s="2">
        <v>2.4131809999999999E-3</v>
      </c>
      <c r="I9" s="1">
        <v>1108.364</v>
      </c>
      <c r="J9" s="1">
        <v>10.289939999999998</v>
      </c>
      <c r="K9" s="1">
        <v>10.50949</v>
      </c>
      <c r="L9" s="1">
        <v>10.827810000000001</v>
      </c>
      <c r="M9" s="1">
        <v>10.92545</v>
      </c>
      <c r="N9" s="1">
        <v>10.6381725</v>
      </c>
      <c r="O9" s="1">
        <v>1.300575</v>
      </c>
      <c r="P9" s="1">
        <v>1.1092309999999999</v>
      </c>
      <c r="Q9" s="1">
        <v>1.0923489999999998</v>
      </c>
      <c r="R9" s="1">
        <v>1.273101</v>
      </c>
      <c r="S9" s="1">
        <v>1.1911659999999999</v>
      </c>
      <c r="T9" s="1">
        <v>-2.8379070000000004</v>
      </c>
      <c r="U9" s="1">
        <v>-2.1410490000000002</v>
      </c>
      <c r="V9" s="1">
        <v>-2.818759</v>
      </c>
      <c r="W9" s="1">
        <v>-2.9301000000000004</v>
      </c>
      <c r="X9" s="1">
        <v>-2.6819537499999999</v>
      </c>
      <c r="Y9" s="5">
        <v>1151.4528607543102</v>
      </c>
      <c r="Z9" s="5">
        <v>568.30803992672406</v>
      </c>
      <c r="AA9" s="2">
        <v>8.8291385426091835E-3</v>
      </c>
      <c r="AB9" s="2">
        <v>8.5470847459914651E-2</v>
      </c>
      <c r="AC9" s="2">
        <v>7.8634920472266481E-4</v>
      </c>
      <c r="AD9" s="2">
        <v>7.6122865897644224E-3</v>
      </c>
      <c r="AE9" s="2">
        <v>5.6789583158432686E-3</v>
      </c>
      <c r="AF9" s="4">
        <v>0.74601532215455424</v>
      </c>
    </row>
    <row r="10" spans="1:32" x14ac:dyDescent="0.3">
      <c r="A10" t="s">
        <v>41</v>
      </c>
      <c r="B10" s="3">
        <v>1290.2220000000002</v>
      </c>
      <c r="C10" s="4">
        <v>0.67525940000000007</v>
      </c>
      <c r="D10">
        <v>12</v>
      </c>
      <c r="E10" s="1">
        <v>2124.2889999999998</v>
      </c>
      <c r="F10" s="1">
        <v>51.939900000000002</v>
      </c>
      <c r="G10" s="1">
        <v>64.500880000000009</v>
      </c>
      <c r="H10" s="2">
        <v>2.4111620000000001E-3</v>
      </c>
      <c r="I10" s="1">
        <v>1108.8240000000001</v>
      </c>
      <c r="J10" s="1">
        <v>11.318440000000001</v>
      </c>
      <c r="K10" s="1">
        <v>11.470500000000001</v>
      </c>
      <c r="L10" s="1">
        <v>11.81249</v>
      </c>
      <c r="M10" s="1">
        <v>11.923489999999999</v>
      </c>
      <c r="N10" s="1">
        <v>11.631230000000002</v>
      </c>
      <c r="O10" s="1">
        <v>1.506049</v>
      </c>
      <c r="P10" s="1">
        <v>1.311094</v>
      </c>
      <c r="Q10" s="1">
        <v>1.3023400000000003</v>
      </c>
      <c r="R10" s="1">
        <v>1.4990049999999999</v>
      </c>
      <c r="S10" s="1">
        <v>1.4050495000000001</v>
      </c>
      <c r="T10" s="1">
        <v>-3.3988509999999996</v>
      </c>
      <c r="U10" s="1">
        <v>-2.649057</v>
      </c>
      <c r="V10" s="1">
        <v>-3.374212</v>
      </c>
      <c r="W10" s="1">
        <v>-3.5142600000000002</v>
      </c>
      <c r="X10" s="1">
        <v>-3.2340949999999999</v>
      </c>
      <c r="Y10" s="5">
        <v>1280.8747672198276</v>
      </c>
      <c r="Z10" s="5">
        <v>669.62094501293097</v>
      </c>
      <c r="AA10" s="2">
        <v>9.8216171339244908E-3</v>
      </c>
      <c r="AB10" s="2">
        <v>9.507857825677149E-2</v>
      </c>
      <c r="AC10" s="2">
        <v>9.2654118600675787E-4</v>
      </c>
      <c r="AD10" s="2">
        <v>8.9694209681196301E-3</v>
      </c>
      <c r="AE10" s="2">
        <v>6.6632198574321701E-3</v>
      </c>
      <c r="AF10" s="4">
        <v>0.74282170422192284</v>
      </c>
    </row>
    <row r="11" spans="1:32" x14ac:dyDescent="0.3">
      <c r="A11" t="s">
        <v>42</v>
      </c>
      <c r="B11" s="3">
        <v>1291.6340000000002</v>
      </c>
      <c r="C11" s="4">
        <v>0.67563410000000002</v>
      </c>
      <c r="D11">
        <v>13</v>
      </c>
      <c r="E11" s="1">
        <v>2124.3219999999997</v>
      </c>
      <c r="F11" s="1">
        <v>52.49221</v>
      </c>
      <c r="G11" s="1">
        <v>63.30883</v>
      </c>
      <c r="H11" s="2">
        <v>2.4085850000000004E-3</v>
      </c>
      <c r="I11" s="1">
        <v>1109.423</v>
      </c>
      <c r="J11" s="1">
        <v>12.33975</v>
      </c>
      <c r="K11" s="1">
        <v>12.450609999999999</v>
      </c>
      <c r="L11" s="1">
        <v>12.86585</v>
      </c>
      <c r="M11" s="1">
        <v>12.884411111111111</v>
      </c>
      <c r="N11" s="1">
        <v>12.635155277777779</v>
      </c>
      <c r="O11" s="1">
        <v>1.714477</v>
      </c>
      <c r="P11" s="1">
        <v>1.5265549999999999</v>
      </c>
      <c r="Q11" s="1">
        <v>1.5596679999999998</v>
      </c>
      <c r="R11" s="1">
        <v>1.7081300000000001</v>
      </c>
      <c r="S11" s="1">
        <v>1.633899</v>
      </c>
      <c r="T11" s="1">
        <v>-4.0501200000000006</v>
      </c>
      <c r="U11" s="1">
        <v>-3.304773</v>
      </c>
      <c r="V11" s="1">
        <v>-4.069134</v>
      </c>
      <c r="W11" s="1">
        <v>-4.1775039999999999</v>
      </c>
      <c r="X11" s="1">
        <v>-3.9003827500000003</v>
      </c>
      <c r="Y11" s="5">
        <v>1428.6536736853452</v>
      </c>
      <c r="Z11" s="5">
        <v>793.4192500991378</v>
      </c>
      <c r="AA11" s="2">
        <v>1.0942460033678977E-2</v>
      </c>
      <c r="AB11" s="2">
        <v>0.10592894514694069</v>
      </c>
      <c r="AC11" s="2">
        <v>1.096604808139728E-3</v>
      </c>
      <c r="AD11" s="2">
        <v>1.0615729023617893E-2</v>
      </c>
      <c r="AE11" s="2">
        <v>7.8354357090434611E-3</v>
      </c>
      <c r="AF11" s="4">
        <v>0.73808406424507633</v>
      </c>
    </row>
    <row r="12" spans="1:32" x14ac:dyDescent="0.3">
      <c r="A12" t="s">
        <v>43</v>
      </c>
      <c r="B12" s="3">
        <v>1292.0899999999999</v>
      </c>
      <c r="C12" s="4">
        <v>0.67543529999999996</v>
      </c>
      <c r="D12">
        <v>14</v>
      </c>
      <c r="E12" s="1">
        <v>2124.239</v>
      </c>
      <c r="F12" s="1">
        <v>53.155169999999998</v>
      </c>
      <c r="G12" s="1">
        <v>61.783180000000002</v>
      </c>
      <c r="H12" s="2">
        <v>2.4053809999999998E-3</v>
      </c>
      <c r="I12" s="1">
        <v>1110.1410000000001</v>
      </c>
      <c r="J12" s="1">
        <v>13.350110000000001</v>
      </c>
      <c r="K12" s="1">
        <v>13.458119999999999</v>
      </c>
      <c r="L12" s="1">
        <v>13.853929999999997</v>
      </c>
      <c r="M12" s="1">
        <v>13.85299</v>
      </c>
      <c r="N12" s="1">
        <v>13.6287875</v>
      </c>
      <c r="O12" s="1">
        <v>1.9184570000000001</v>
      </c>
      <c r="P12" s="1">
        <v>1.736348</v>
      </c>
      <c r="Q12" s="1">
        <v>1.7633689999999997</v>
      </c>
      <c r="R12" s="1">
        <v>1.9154089999999999</v>
      </c>
      <c r="S12" s="1">
        <v>1.8393889999999997</v>
      </c>
      <c r="T12" s="1">
        <v>-4.7258019999999998</v>
      </c>
      <c r="U12" s="1">
        <v>-3.9125479999999997</v>
      </c>
      <c r="V12" s="1">
        <v>-4.6605330000000009</v>
      </c>
      <c r="W12" s="1">
        <v>-4.9012089999999997</v>
      </c>
      <c r="X12" s="1">
        <v>-4.5500229999999995</v>
      </c>
      <c r="Y12" s="5">
        <v>1560.994580150862</v>
      </c>
      <c r="Z12" s="5">
        <v>923.47735518534478</v>
      </c>
      <c r="AA12" s="2">
        <v>1.1963685383579137E-2</v>
      </c>
      <c r="AB12" s="2">
        <v>0.11581496015081449</v>
      </c>
      <c r="AC12" s="2">
        <v>1.2771709957569068E-3</v>
      </c>
      <c r="AD12" s="2">
        <v>1.2363707606552823E-2</v>
      </c>
      <c r="AE12" s="2">
        <v>8.9577454706508998E-3</v>
      </c>
      <c r="AF12" s="4">
        <v>0.72448179600146467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B37A-8BBF-48DF-A982-CE06EA45A384}">
  <dimension ref="A1:Y12"/>
  <sheetViews>
    <sheetView tabSelected="1" topLeftCell="F1" workbookViewId="0">
      <selection activeCell="Y2" sqref="Y2:Y12"/>
    </sheetView>
  </sheetViews>
  <sheetFormatPr defaultRowHeight="14.4" x14ac:dyDescent="0.3"/>
  <cols>
    <col min="1" max="1" width="13.33203125" bestFit="1" customWidth="1"/>
    <col min="2" max="25" width="10.33203125" customWidth="1"/>
  </cols>
  <sheetData>
    <row r="1" spans="1:25" x14ac:dyDescent="0.3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3">
      <c r="A2" s="2" t="str">
        <f>[1]averages!A2</f>
        <v>R48M675TH04</v>
      </c>
      <c r="B2" s="3" cm="1">
        <f t="array" ref="B2:B12">_xlfn.ANCHORARRAY([1]averages!D2)</f>
        <v>4</v>
      </c>
      <c r="C2" s="6" cm="1">
        <f t="array" ref="C2">_xlfn.T.INV.2T(0.05,[1]constants!$K2-1)*_xlfn.STDEV.S(IF(_xlfn.ANCHORARRAY([1]constants!$H$2)=$B2,'[1]raw data'!K$2:K$118))/SQRT([1]constants!$K2)</f>
        <v>8.9072554704408245E-3</v>
      </c>
      <c r="D2" s="6" cm="1">
        <f t="array" ref="D2">_xlfn.T.INV.2T(0.05,[1]constants!$K2-1)*_xlfn.STDEV.S(IF(_xlfn.ANCHORARRAY([1]constants!$H$2)=$B2,'[1]raw data'!L$2:L$118))/SQRT([1]constants!$K2)</f>
        <v>8.5199743610126638E-3</v>
      </c>
      <c r="E2" s="6" cm="1">
        <f t="array" ref="E2">_xlfn.T.INV.2T(0.05,[1]constants!$K2-1)*_xlfn.STDEV.S(IF(_xlfn.ANCHORARRAY([1]constants!$H$2)=$B2,'[1]raw data'!M$2:M$118))/SQRT([1]constants!$K2)</f>
        <v>1.2521263294319152E-2</v>
      </c>
      <c r="F2" s="6" cm="1">
        <f t="array" ref="F2">IFERROR(_xlfn.T.INV.2T(0.05,[1]constants!$L2-1)*_xlfn.STDEV.S(IF(_xlfn.ANCHORARRAY([1]constants!$H$2)=$B2,'[1]raw data'!N$2:N$118))/SQRT([1]constants!$L2),0)</f>
        <v>0</v>
      </c>
      <c r="G2" s="6" cm="1">
        <f t="array" ref="G2">SQRT((SQRT(SUMIF(_xlfn.ANCHORARRAY([1]constants!$H$2),$B2,[1]constants!M$2:M$118))/[1]constants!K2)^2+(_xlfn.T.INV.2T(0.05,[1]constants!$K2-1)*_xlfn.STDEV.S(IF(_xlfn.ANCHORARRAY([1]constants!$H$2)=$B2,'[1]raw data'!AG$2:AG$118))/SQRT([1]constants!K2))^2)</f>
        <v>0.21354962060958957</v>
      </c>
      <c r="H2" s="6" cm="1">
        <f t="array" ref="H2">_xlfn.T.INV.2T(0.05,[1]constants!$K2-1)*_xlfn.STDEV.S(IF(_xlfn.ANCHORARRAY([1]constants!$H$2)=$B2,'[1]raw data'!O$2:O$118))/SQRT([1]constants!$K2)</f>
        <v>7.7091600014630125E-3</v>
      </c>
      <c r="I2" s="6" cm="1">
        <f t="array" ref="I2">_xlfn.T.INV.2T(0.05,[1]constants!$K2-1)*_xlfn.STDEV.S(IF(_xlfn.ANCHORARRAY([1]constants!$H$2)=$B2,'[1]raw data'!P$2:P$118))/SQRT([1]constants!$K2)</f>
        <v>4.0741393030407254E-3</v>
      </c>
      <c r="J2" s="6" cm="1">
        <f t="array" ref="J2">_xlfn.T.INV.2T(0.05,[1]constants!$K2-1)*_xlfn.STDEV.S(IF(_xlfn.ANCHORARRAY([1]constants!$H$2)=$B2,'[1]raw data'!Q$2:Q$118))/SQRT([1]constants!$K2)</f>
        <v>7.3021113627097806E-3</v>
      </c>
      <c r="K2" s="6" cm="1">
        <f t="array" ref="K2">_xlfn.T.INV.2T(0.05,[1]constants!$K2-1)*_xlfn.STDEV.S(IF(_xlfn.ANCHORARRAY([1]constants!$H$2)=$B2,'[1]raw data'!R$2:R$118))/SQRT([1]constants!$K2)</f>
        <v>1.162706329578137E-2</v>
      </c>
      <c r="L2" s="6" cm="1">
        <f t="array" ref="L2">SQRT((SQRT(SUMIF(_xlfn.ANCHORARRAY([1]constants!$H$2),$B2,[1]constants!N$2:N$118))/[1]constants!K2)^2+(_xlfn.T.INV.2T(0.05,[1]constants!$K2-1)*_xlfn.STDEV.S(IF(_xlfn.ANCHORARRAY([1]constants!$H$2)=$B2,'[1]raw data'!AH$2:AH$118))/SQRT([1]constants!$K2))^2)</f>
        <v>5.59146661795644E-2</v>
      </c>
      <c r="M2" s="6" cm="1">
        <f t="array" ref="M2">_xlfn.T.INV.2T(0.05,[1]constants!$K2-1)*_xlfn.STDEV.S(IF(_xlfn.ANCHORARRAY([1]constants!$H$2)=$B2,'[1]raw data'!S$2:S$118))/SQRT([1]constants!$K2)</f>
        <v>2.5823865958317328E-3</v>
      </c>
      <c r="N2" s="6" cm="1">
        <f t="array" ref="N2">_xlfn.T.INV.2T(0.05,[1]constants!$K2-1)*_xlfn.STDEV.S(IF(_xlfn.ANCHORARRAY([1]constants!$H$2)=$B2,'[1]raw data'!T$2:T$118))/SQRT([1]constants!$K2)</f>
        <v>2.08418170239678E-4</v>
      </c>
      <c r="O2" s="6" cm="1">
        <f t="array" ref="O2">_xlfn.T.INV.2T(0.05,[1]constants!$K2-1)*_xlfn.STDEV.S(IF(_xlfn.ANCHORARRAY([1]constants!$H$2)=$B2,'[1]raw data'!U$2:U$118))/SQRT([1]constants!$K2)</f>
        <v>1.3509345583170339E-3</v>
      </c>
      <c r="P2" s="6" cm="1">
        <f t="array" ref="P2">_xlfn.T.INV.2T(0.05,[1]constants!$K2-1)*_xlfn.STDEV.S(IF(_xlfn.ANCHORARRAY([1]constants!$H$2)=$B2,'[1]raw data'!V$2:V$118))/SQRT([1]constants!$K2)</f>
        <v>1.462092607319261E-3</v>
      </c>
      <c r="Q2" s="6" cm="1">
        <f t="array" ref="Q2">SQRT((SQRT(SUMIF(_xlfn.ANCHORARRAY([1]constants!$H$2),$B2,[1]constants!O$2:O$118))/[1]constants!K2)^2+(_xlfn.T.INV.2T(0.05,[1]constants!$K2-1)*_xlfn.STDEV.S(IF(_xlfn.ANCHORARRAY([1]constants!$H$2)=$B2,'[1]raw data'!AI$2:AI$118))/SQRT([1]constants!$K2))^2)</f>
        <v>0.32478917294212101</v>
      </c>
      <c r="R2" s="6" cm="1">
        <f t="array" ref="R2">_xlfn.T.INV.2T(0.05,[1]constants!$K2-1)*_xlfn.STDEV.S(IF(_xlfn.ANCHORARRAY([1]constants!$H$2)=$B2,'[1]raw data'!Y$2:Y$118))/SQRT([1]constants!$K2)</f>
        <v>2.2036701261595728</v>
      </c>
      <c r="S2" s="6" cm="1">
        <f t="array" ref="S2">_xlfn.T.INV.2T(0.05,[1]constants!$K2-1)*_xlfn.STDEV.S(IF(_xlfn.ANCHORARRAY([1]constants!$H$2)=$B2,'[1]raw data'!Z$2:Z$118))/SQRT([1]constants!$K2)</f>
        <v>0.81261689675128435</v>
      </c>
      <c r="T2" s="2" cm="1">
        <f t="array" ref="T2">_xlfn.T.INV.2T(0.05,[1]constants!$K2-1)*_xlfn.STDEV.S(IF(_xlfn.ANCHORARRAY([1]constants!$H$2)=$B2,'[1]raw data'!AA$2:AA$118))/SQRT([1]constants!$K2)</f>
        <v>1.6656060750231032E-5</v>
      </c>
      <c r="U2" s="2" cm="1">
        <f t="array" ref="U2">_xlfn.T.INV.2T(0.05,[1]constants!$K2-1)*_xlfn.STDEV.S(IF(_xlfn.ANCHORARRAY([1]constants!$H$2)=$B2,'[1]raw data'!AB$2:AB$118))/SQRT([1]constants!$K2)</f>
        <v>1.6123969748529533E-4</v>
      </c>
      <c r="V2" s="2" cm="1">
        <f t="array" ref="V2">_xlfn.T.INV.2T(0.05,[1]constants!$K2-1)*_xlfn.STDEV.S(IF(_xlfn.ANCHORARRAY([1]constants!$H$2)=$B2,'[1]raw data'!AC$2:AC$118))/SQRT([1]constants!$K2)</f>
        <v>1.1040867598667861E-6</v>
      </c>
      <c r="W2" s="2" cm="1">
        <f t="array" ref="W2">_xlfn.T.INV.2T(0.05,[1]constants!$K2-1)*_xlfn.STDEV.S(IF(_xlfn.ANCHORARRAY([1]constants!$H$2)=$B2,'[1]raw data'!AD$2:AD$118))/SQRT([1]constants!$K2)</f>
        <v>1.0688158372379388E-5</v>
      </c>
      <c r="X2" s="2" cm="1">
        <f t="array" ref="X2">_xlfn.T.INV.2T(0.05,[1]constants!$K2-1)*_xlfn.STDEV.S(IF(_xlfn.ANCHORARRAY([1]constants!$H$2)=$B2,'[1]raw data'!AE$2:AE$118))/SQRT([1]constants!$K2)</f>
        <v>8.8074758505094872E-6</v>
      </c>
      <c r="Y2" s="6" cm="1">
        <f t="array" ref="Y2">_xlfn.T.INV.2T(0.05,[1]constants!$K2-1)*_xlfn.STDEV.S(IF(_xlfn.ANCHORARRAY([1]constants!$H$2)=$B2,'[1]raw data'!AF$2:AF$118))/SQRT([1]constants!$K2)</f>
        <v>2.0687509489433712E-3</v>
      </c>
    </row>
    <row r="3" spans="1:25" x14ac:dyDescent="0.3">
      <c r="A3" s="2" t="str">
        <f>[1]averages!A3</f>
        <v>R48M675TH05</v>
      </c>
      <c r="B3" s="3">
        <v>5</v>
      </c>
      <c r="C3" s="6" cm="1">
        <f t="array" ref="C3">_xlfn.T.INV.2T(0.05,[1]constants!$K3-1)*_xlfn.STDEV.S(IF(_xlfn.ANCHORARRAY([1]constants!$H$2)=$B3,'[1]raw data'!K$2:K$118))/SQRT([1]constants!$K3)</f>
        <v>5.3634238840048693E-3</v>
      </c>
      <c r="D3" s="6" cm="1">
        <f t="array" ref="D3">_xlfn.T.INV.2T(0.05,[1]constants!$K3-1)*_xlfn.STDEV.S(IF(_xlfn.ANCHORARRAY([1]constants!$H$2)=$B3,'[1]raw data'!L$2:L$118))/SQRT([1]constants!$K3)</f>
        <v>2.9993978512783256E-3</v>
      </c>
      <c r="E3" s="6" cm="1">
        <f t="array" ref="E3">_xlfn.T.INV.2T(0.05,[1]constants!$K3-1)*_xlfn.STDEV.S(IF(_xlfn.ANCHORARRAY([1]constants!$H$2)=$B3,'[1]raw data'!M$2:M$118))/SQRT([1]constants!$K3)</f>
        <v>9.7452479937580813E-3</v>
      </c>
      <c r="F3" s="6" cm="1">
        <f t="array" ref="F3">IFERROR(_xlfn.T.INV.2T(0.05,[1]constants!$L3-1)*_xlfn.STDEV.S(IF(_xlfn.ANCHORARRAY([1]constants!$H$2)=$B3,'[1]raw data'!N$2:N$118))/SQRT([1]constants!$L3),0)</f>
        <v>0</v>
      </c>
      <c r="G3" s="6" cm="1">
        <f t="array" ref="G3">SQRT((SQRT(SUMIF(_xlfn.ANCHORARRAY([1]constants!$H$2),$B3,[1]constants!M$2:M$118))/[1]constants!K3)^2+(_xlfn.T.INV.2T(0.05,[1]constants!$K3-1)*_xlfn.STDEV.S(IF(_xlfn.ANCHORARRAY([1]constants!$H$2)=$B3,'[1]raw data'!AG$2:AG$118))/SQRT([1]constants!K3))^2)</f>
        <v>0.2564332644086656</v>
      </c>
      <c r="H3" s="6" cm="1">
        <f t="array" ref="H3">_xlfn.T.INV.2T(0.05,[1]constants!$K3-1)*_xlfn.STDEV.S(IF(_xlfn.ANCHORARRAY([1]constants!$H$2)=$B3,'[1]raw data'!O$2:O$118))/SQRT([1]constants!$K3)</f>
        <v>6.7370355457467748E-3</v>
      </c>
      <c r="I3" s="6" cm="1">
        <f t="array" ref="I3">_xlfn.T.INV.2T(0.05,[1]constants!$K3-1)*_xlfn.STDEV.S(IF(_xlfn.ANCHORARRAY([1]constants!$H$2)=$B3,'[1]raw data'!P$2:P$118))/SQRT([1]constants!$K3)</f>
        <v>4.8929273429809995E-3</v>
      </c>
      <c r="J3" s="6" cm="1">
        <f t="array" ref="J3">_xlfn.T.INV.2T(0.05,[1]constants!$K3-1)*_xlfn.STDEV.S(IF(_xlfn.ANCHORARRAY([1]constants!$H$2)=$B3,'[1]raw data'!Q$2:Q$118))/SQRT([1]constants!$K3)</f>
        <v>5.4336927842761028E-3</v>
      </c>
      <c r="K3" s="6" cm="1">
        <f t="array" ref="K3">_xlfn.T.INV.2T(0.05,[1]constants!$K3-1)*_xlfn.STDEV.S(IF(_xlfn.ANCHORARRAY([1]constants!$H$2)=$B3,'[1]raw data'!R$2:R$118))/SQRT([1]constants!$K3)</f>
        <v>6.0094802809443583E-3</v>
      </c>
      <c r="L3" s="6" cm="1">
        <f t="array" ref="L3">SQRT((SQRT(SUMIF(_xlfn.ANCHORARRAY([1]constants!$H$2),$B3,[1]constants!N$2:N$118))/[1]constants!K3)^2+(_xlfn.T.INV.2T(0.05,[1]constants!$K3-1)*_xlfn.STDEV.S(IF(_xlfn.ANCHORARRAY([1]constants!$H$2)=$B3,'[1]raw data'!AH$2:AH$118))/SQRT([1]constants!$K3))^2)</f>
        <v>5.7648688632494213E-2</v>
      </c>
      <c r="M3" s="6" cm="1">
        <f t="array" ref="M3">_xlfn.T.INV.2T(0.05,[1]constants!$K3-1)*_xlfn.STDEV.S(IF(_xlfn.ANCHORARRAY([1]constants!$H$2)=$B3,'[1]raw data'!S$2:S$118))/SQRT([1]constants!$K3)</f>
        <v>2.6063635055015653E-2</v>
      </c>
      <c r="N3" s="6" cm="1">
        <f t="array" ref="N3">_xlfn.T.INV.2T(0.05,[1]constants!$K3-1)*_xlfn.STDEV.S(IF(_xlfn.ANCHORARRAY([1]constants!$H$2)=$B3,'[1]raw data'!T$2:T$118))/SQRT([1]constants!$K3)</f>
        <v>6.0874645514730425E-4</v>
      </c>
      <c r="O3" s="6" cm="1">
        <f t="array" ref="O3">_xlfn.T.INV.2T(0.05,[1]constants!$K3-1)*_xlfn.STDEV.S(IF(_xlfn.ANCHORARRAY([1]constants!$H$2)=$B3,'[1]raw data'!U$2:U$118))/SQRT([1]constants!$K3)</f>
        <v>5.8225691586533308E-4</v>
      </c>
      <c r="P3" s="6" cm="1">
        <f t="array" ref="P3">_xlfn.T.INV.2T(0.05,[1]constants!$K3-1)*_xlfn.STDEV.S(IF(_xlfn.ANCHORARRAY([1]constants!$H$2)=$B3,'[1]raw data'!V$2:V$118))/SQRT([1]constants!$K3)</f>
        <v>8.9721480629567692E-3</v>
      </c>
      <c r="Q3" s="6" cm="1">
        <f t="array" ref="Q3">SQRT((SQRT(SUMIF(_xlfn.ANCHORARRAY([1]constants!$H$2),$B3,[1]constants!O$2:O$118))/[1]constants!K3)^2+(_xlfn.T.INV.2T(0.05,[1]constants!$K3-1)*_xlfn.STDEV.S(IF(_xlfn.ANCHORARRAY([1]constants!$H$2)=$B3,'[1]raw data'!AI$2:AI$118))/SQRT([1]constants!$K3))^2)</f>
        <v>0.31669627482147605</v>
      </c>
      <c r="R3" s="6" cm="1">
        <f t="array" ref="R3">_xlfn.T.INV.2T(0.05,[1]constants!$K3-1)*_xlfn.STDEV.S(IF(_xlfn.ANCHORARRAY([1]constants!$H$2)=$B3,'[1]raw data'!Y$2:Y$118))/SQRT([1]constants!$K3)</f>
        <v>1.8675514700670834</v>
      </c>
      <c r="S3" s="6" cm="1">
        <f t="array" ref="S3">_xlfn.T.INV.2T(0.05,[1]constants!$K3-1)*_xlfn.STDEV.S(IF(_xlfn.ANCHORARRAY([1]constants!$H$2)=$B3,'[1]raw data'!Z$2:Z$118))/SQRT([1]constants!$K3)</f>
        <v>0.59123939706682593</v>
      </c>
      <c r="T3" s="2" cm="1">
        <f t="array" ref="T3">_xlfn.T.INV.2T(0.05,[1]constants!$K3-1)*_xlfn.STDEV.S(IF(_xlfn.ANCHORARRAY([1]constants!$H$2)=$B3,'[1]raw data'!AA$2:AA$118))/SQRT([1]constants!$K3)</f>
        <v>1.4449269765158384E-5</v>
      </c>
      <c r="U3" s="2" cm="1">
        <f t="array" ref="U3">_xlfn.T.INV.2T(0.05,[1]constants!$K3-1)*_xlfn.STDEV.S(IF(_xlfn.ANCHORARRAY([1]constants!$H$2)=$B3,'[1]raw data'!AB$2:AB$118))/SQRT([1]constants!$K3)</f>
        <v>1.3987676442554068E-4</v>
      </c>
      <c r="V3" s="2" cm="1">
        <f t="array" ref="V3">_xlfn.T.INV.2T(0.05,[1]constants!$K3-1)*_xlfn.STDEV.S(IF(_xlfn.ANCHORARRAY([1]constants!$H$2)=$B3,'[1]raw data'!AC$2:AC$118))/SQRT([1]constants!$K3)</f>
        <v>8.2969553222357569E-7</v>
      </c>
      <c r="W3" s="2" cm="1">
        <f t="array" ref="W3">_xlfn.T.INV.2T(0.05,[1]constants!$K3-1)*_xlfn.STDEV.S(IF(_xlfn.ANCHORARRAY([1]constants!$H$2)=$B3,'[1]raw data'!AD$2:AD$118))/SQRT([1]constants!$K3)</f>
        <v>8.0319025384663448E-6</v>
      </c>
      <c r="X3" s="2" cm="1">
        <f t="array" ref="X3">_xlfn.T.INV.2T(0.05,[1]constants!$K3-1)*_xlfn.STDEV.S(IF(_xlfn.ANCHORARRAY([1]constants!$H$2)=$B3,'[1]raw data'!AE$2:AE$118))/SQRT([1]constants!$K3)</f>
        <v>8.5832197364313776E-6</v>
      </c>
      <c r="Y3" s="6" cm="1">
        <f t="array" ref="Y3">_xlfn.T.INV.2T(0.05,[1]constants!$K3-1)*_xlfn.STDEV.S(IF(_xlfn.ANCHORARRAY([1]constants!$H$2)=$B3,'[1]raw data'!AF$2:AF$118))/SQRT([1]constants!$K3)</f>
        <v>2.2905003960882668E-3</v>
      </c>
    </row>
    <row r="4" spans="1:25" x14ac:dyDescent="0.3">
      <c r="A4" s="2" t="str">
        <f>[1]averages!A4</f>
        <v>R48M675TH06</v>
      </c>
      <c r="B4" s="3">
        <v>6</v>
      </c>
      <c r="C4" s="6" cm="1">
        <f t="array" ref="C4">_xlfn.T.INV.2T(0.05,[1]constants!$K4-1)*_xlfn.STDEV.S(IF(_xlfn.ANCHORARRAY([1]constants!$H$2)=$B4,'[1]raw data'!K$2:K$118))/SQRT([1]constants!$K4)</f>
        <v>1.1134293459022533E-2</v>
      </c>
      <c r="D4" s="6" cm="1">
        <f t="array" ref="D4">_xlfn.T.INV.2T(0.05,[1]constants!$K4-1)*_xlfn.STDEV.S(IF(_xlfn.ANCHORARRAY([1]constants!$H$2)=$B4,'[1]raw data'!L$2:L$118))/SQRT([1]constants!$K4)</f>
        <v>5.6475997346825931E-3</v>
      </c>
      <c r="E4" s="6" cm="1">
        <f t="array" ref="E4">_xlfn.T.INV.2T(0.05,[1]constants!$K4-1)*_xlfn.STDEV.S(IF(_xlfn.ANCHORARRAY([1]constants!$H$2)=$B4,'[1]raw data'!M$2:M$118))/SQRT([1]constants!$K4)</f>
        <v>8.3068555206964427E-3</v>
      </c>
      <c r="F4" s="6" cm="1">
        <f t="array" ref="F4">IFERROR(_xlfn.T.INV.2T(0.05,[1]constants!$L4-1)*_xlfn.STDEV.S(IF(_xlfn.ANCHORARRAY([1]constants!$H$2)=$B4,'[1]raw data'!N$2:N$118))/SQRT([1]constants!$L4),0)</f>
        <v>0</v>
      </c>
      <c r="G4" s="6" cm="1">
        <f t="array" ref="G4">SQRT((SQRT(SUMIF(_xlfn.ANCHORARRAY([1]constants!$H$2),$B4,[1]constants!M$2:M$118))/[1]constants!K4)^2+(_xlfn.T.INV.2T(0.05,[1]constants!$K4-1)*_xlfn.STDEV.S(IF(_xlfn.ANCHORARRAY([1]constants!$H$2)=$B4,'[1]raw data'!AG$2:AG$118))/SQRT([1]constants!K4))^2)</f>
        <v>0.2779761093742133</v>
      </c>
      <c r="H4" s="6" cm="1">
        <f t="array" ref="H4">_xlfn.T.INV.2T(0.05,[1]constants!$K4-1)*_xlfn.STDEV.S(IF(_xlfn.ANCHORARRAY([1]constants!$H$2)=$B4,'[1]raw data'!O$2:O$118))/SQRT([1]constants!$K4)</f>
        <v>1.0462042671708601E-2</v>
      </c>
      <c r="I4" s="6" cm="1">
        <f t="array" ref="I4">_xlfn.T.INV.2T(0.05,[1]constants!$K4-1)*_xlfn.STDEV.S(IF(_xlfn.ANCHORARRAY([1]constants!$H$2)=$B4,'[1]raw data'!P$2:P$118))/SQRT([1]constants!$K4)</f>
        <v>7.1427348781116767E-3</v>
      </c>
      <c r="J4" s="6" cm="1">
        <f t="array" ref="J4">_xlfn.T.INV.2T(0.05,[1]constants!$K4-1)*_xlfn.STDEV.S(IF(_xlfn.ANCHORARRAY([1]constants!$H$2)=$B4,'[1]raw data'!Q$2:Q$118))/SQRT([1]constants!$K4)</f>
        <v>1.0566370875669757E-2</v>
      </c>
      <c r="K4" s="6" cm="1">
        <f t="array" ref="K4">_xlfn.T.INV.2T(0.05,[1]constants!$K4-1)*_xlfn.STDEV.S(IF(_xlfn.ANCHORARRAY([1]constants!$H$2)=$B4,'[1]raw data'!R$2:R$118))/SQRT([1]constants!$K4)</f>
        <v>1.7720571274236228E-2</v>
      </c>
      <c r="L4" s="6" cm="1">
        <f t="array" ref="L4">SQRT((SQRT(SUMIF(_xlfn.ANCHORARRAY([1]constants!$H$2),$B4,[1]constants!N$2:N$118))/[1]constants!K4)^2+(_xlfn.T.INV.2T(0.05,[1]constants!$K4-1)*_xlfn.STDEV.S(IF(_xlfn.ANCHORARRAY([1]constants!$H$2)=$B4,'[1]raw data'!AH$2:AH$118))/SQRT([1]constants!$K4))^2)</f>
        <v>6.2657904194584724E-2</v>
      </c>
      <c r="M4" s="6" cm="1">
        <f t="array" ref="M4">_xlfn.T.INV.2T(0.05,[1]constants!$K4-1)*_xlfn.STDEV.S(IF(_xlfn.ANCHORARRAY([1]constants!$H$2)=$B4,'[1]raw data'!S$2:S$118))/SQRT([1]constants!$K4)</f>
        <v>4.1909819127790751E-2</v>
      </c>
      <c r="N4" s="6" cm="1">
        <f t="array" ref="N4">_xlfn.T.INV.2T(0.05,[1]constants!$K4-1)*_xlfn.STDEV.S(IF(_xlfn.ANCHORARRAY([1]constants!$H$2)=$B4,'[1]raw data'!T$2:T$118))/SQRT([1]constants!$K4)</f>
        <v>5.2790949146741838E-2</v>
      </c>
      <c r="O4" s="6" cm="1">
        <f t="array" ref="O4">_xlfn.T.INV.2T(0.05,[1]constants!$K4-1)*_xlfn.STDEV.S(IF(_xlfn.ANCHORARRAY([1]constants!$H$2)=$B4,'[1]raw data'!U$2:U$118))/SQRT([1]constants!$K4)</f>
        <v>4.8445098867678352E-2</v>
      </c>
      <c r="P4" s="6" cm="1">
        <f t="array" ref="P4">_xlfn.T.INV.2T(0.05,[1]constants!$K4-1)*_xlfn.STDEV.S(IF(_xlfn.ANCHORARRAY([1]constants!$H$2)=$B4,'[1]raw data'!V$2:V$118))/SQRT([1]constants!$K4)</f>
        <v>4.4058627359311993E-2</v>
      </c>
      <c r="Q4" s="6" cm="1">
        <f t="array" ref="Q4">SQRT((SQRT(SUMIF(_xlfn.ANCHORARRAY([1]constants!$H$2),$B4,[1]constants!O$2:O$118))/[1]constants!K4)^2+(_xlfn.T.INV.2T(0.05,[1]constants!$K4-1)*_xlfn.STDEV.S(IF(_xlfn.ANCHORARRAY([1]constants!$H$2)=$B4,'[1]raw data'!AI$2:AI$118))/SQRT([1]constants!$K4))^2)</f>
        <v>0.31102245233162429</v>
      </c>
      <c r="R4" s="6" cm="1">
        <f t="array" ref="R4">_xlfn.T.INV.2T(0.05,[1]constants!$K4-1)*_xlfn.STDEV.S(IF(_xlfn.ANCHORARRAY([1]constants!$H$2)=$B4,'[1]raw data'!Y$2:Y$118))/SQRT([1]constants!$K4)</f>
        <v>3.3527500341406684</v>
      </c>
      <c r="S4" s="6" cm="1">
        <f t="array" ref="S4">_xlfn.T.INV.2T(0.05,[1]constants!$K4-1)*_xlfn.STDEV.S(IF(_xlfn.ANCHORARRAY([1]constants!$H$2)=$B4,'[1]raw data'!Z$2:Z$118))/SQRT([1]constants!$K4)</f>
        <v>1.1615433620096953</v>
      </c>
      <c r="T4" s="2" cm="1">
        <f t="array" ref="T4">_xlfn.T.INV.2T(0.05,[1]constants!$K4-1)*_xlfn.STDEV.S(IF(_xlfn.ANCHORARRAY([1]constants!$H$2)=$B4,'[1]raw data'!AA$2:AA$118))/SQRT([1]constants!$K4)</f>
        <v>2.5876821318312471E-5</v>
      </c>
      <c r="U4" s="2" cm="1">
        <f t="array" ref="U4">_xlfn.T.INV.2T(0.05,[1]constants!$K4-1)*_xlfn.STDEV.S(IF(_xlfn.ANCHORARRAY([1]constants!$H$2)=$B4,'[1]raw data'!AB$2:AB$118))/SQRT([1]constants!$K4)</f>
        <v>2.5050165845413831E-4</v>
      </c>
      <c r="V4" s="2" cm="1">
        <f t="array" ref="V4">_xlfn.T.INV.2T(0.05,[1]constants!$K4-1)*_xlfn.STDEV.S(IF(_xlfn.ANCHORARRAY([1]constants!$H$2)=$B4,'[1]raw data'!AC$2:AC$118))/SQRT([1]constants!$K4)</f>
        <v>1.6240721993179449E-6</v>
      </c>
      <c r="W4" s="2" cm="1">
        <f t="array" ref="W4">_xlfn.T.INV.2T(0.05,[1]constants!$K4-1)*_xlfn.STDEV.S(IF(_xlfn.ANCHORARRAY([1]constants!$H$2)=$B4,'[1]raw data'!AD$2:AD$118))/SQRT([1]constants!$K4)</f>
        <v>1.5721899315759324E-5</v>
      </c>
      <c r="X4" s="2" cm="1">
        <f t="array" ref="X4">_xlfn.T.INV.2T(0.05,[1]constants!$K4-1)*_xlfn.STDEV.S(IF(_xlfn.ANCHORARRAY([1]constants!$H$2)=$B4,'[1]raw data'!AE$2:AE$118))/SQRT([1]constants!$K4)</f>
        <v>1.7077042155910486E-5</v>
      </c>
      <c r="Y4" s="6" cm="1">
        <f t="array" ref="Y4">_xlfn.T.INV.2T(0.05,[1]constants!$K4-1)*_xlfn.STDEV.S(IF(_xlfn.ANCHORARRAY([1]constants!$H$2)=$B4,'[1]raw data'!AF$2:AF$118))/SQRT([1]constants!$K4)</f>
        <v>2.6995402352387441E-3</v>
      </c>
    </row>
    <row r="5" spans="1:25" x14ac:dyDescent="0.3">
      <c r="A5" s="2" t="str">
        <f>[1]averages!A5</f>
        <v>R48M675TH07</v>
      </c>
      <c r="B5" s="3">
        <v>7</v>
      </c>
      <c r="C5" s="6" cm="1">
        <f t="array" ref="C5">_xlfn.T.INV.2T(0.05,[1]constants!$K5-1)*_xlfn.STDEV.S(IF(_xlfn.ANCHORARRAY([1]constants!$H$2)=$B5,'[1]raw data'!K$2:K$118))/SQRT([1]constants!$K5)</f>
        <v>9.3397654591676673E-3</v>
      </c>
      <c r="D5" s="6" cm="1">
        <f t="array" ref="D5">_xlfn.T.INV.2T(0.05,[1]constants!$K5-1)*_xlfn.STDEV.S(IF(_xlfn.ANCHORARRAY([1]constants!$H$2)=$B5,'[1]raw data'!L$2:L$118))/SQRT([1]constants!$K5)</f>
        <v>4.51686600054971E-3</v>
      </c>
      <c r="E5" s="6" cm="1">
        <f t="array" ref="E5">_xlfn.T.INV.2T(0.05,[1]constants!$K5-1)*_xlfn.STDEV.S(IF(_xlfn.ANCHORARRAY([1]constants!$H$2)=$B5,'[1]raw data'!M$2:M$118))/SQRT([1]constants!$K5)</f>
        <v>7.3466708907884435E-3</v>
      </c>
      <c r="F5" s="6" cm="1">
        <f t="array" ref="F5">IFERROR(_xlfn.T.INV.2T(0.05,[1]constants!$L5-1)*_xlfn.STDEV.S(IF(_xlfn.ANCHORARRAY([1]constants!$H$2)=$B5,'[1]raw data'!N$2:N$118))/SQRT([1]constants!$L5),0)</f>
        <v>0</v>
      </c>
      <c r="G5" s="6" cm="1">
        <f t="array" ref="G5">SQRT((SQRT(SUMIF(_xlfn.ANCHORARRAY([1]constants!$H$2),$B5,[1]constants!M$2:M$118))/[1]constants!K5)^2+(_xlfn.T.INV.2T(0.05,[1]constants!$K5-1)*_xlfn.STDEV.S(IF(_xlfn.ANCHORARRAY([1]constants!$H$2)=$B5,'[1]raw data'!AG$2:AG$118))/SQRT([1]constants!K5))^2)</f>
        <v>0.2769717735119302</v>
      </c>
      <c r="H5" s="6" cm="1">
        <f t="array" ref="H5">_xlfn.T.INV.2T(0.05,[1]constants!$K5-1)*_xlfn.STDEV.S(IF(_xlfn.ANCHORARRAY([1]constants!$H$2)=$B5,'[1]raw data'!O$2:O$118))/SQRT([1]constants!$K5)</f>
        <v>1.2010063713725917E-2</v>
      </c>
      <c r="I5" s="6" cm="1">
        <f t="array" ref="I5">_xlfn.T.INV.2T(0.05,[1]constants!$K5-1)*_xlfn.STDEV.S(IF(_xlfn.ANCHORARRAY([1]constants!$H$2)=$B5,'[1]raw data'!P$2:P$118))/SQRT([1]constants!$K5)</f>
        <v>6.6064979099096652E-3</v>
      </c>
      <c r="J5" s="6" cm="1">
        <f t="array" ref="J5">_xlfn.T.INV.2T(0.05,[1]constants!$K5-1)*_xlfn.STDEV.S(IF(_xlfn.ANCHORARRAY([1]constants!$H$2)=$B5,'[1]raw data'!Q$2:Q$118))/SQRT([1]constants!$K5)</f>
        <v>6.8466928335824528E-3</v>
      </c>
      <c r="K5" s="6" cm="1">
        <f t="array" ref="K5">_xlfn.T.INV.2T(0.05,[1]constants!$K5-1)*_xlfn.STDEV.S(IF(_xlfn.ANCHORARRAY([1]constants!$H$2)=$B5,'[1]raw data'!R$2:R$118))/SQRT([1]constants!$K5)</f>
        <v>1.3668893626942461E-2</v>
      </c>
      <c r="L5" s="6" cm="1">
        <f t="array" ref="L5">SQRT((SQRT(SUMIF(_xlfn.ANCHORARRAY([1]constants!$H$2),$B5,[1]constants!N$2:N$118))/[1]constants!K5)^2+(_xlfn.T.INV.2T(0.05,[1]constants!$K5-1)*_xlfn.STDEV.S(IF(_xlfn.ANCHORARRAY([1]constants!$H$2)=$B5,'[1]raw data'!AH$2:AH$118))/SQRT([1]constants!$K5))^2)</f>
        <v>5.7870508397463744E-2</v>
      </c>
      <c r="M5" s="6" cm="1">
        <f t="array" ref="M5">_xlfn.T.INV.2T(0.05,[1]constants!$K5-1)*_xlfn.STDEV.S(IF(_xlfn.ANCHORARRAY([1]constants!$H$2)=$B5,'[1]raw data'!S$2:S$118))/SQRT([1]constants!$K5)</f>
        <v>3.7743654500366021E-2</v>
      </c>
      <c r="N5" s="6" cm="1">
        <f t="array" ref="N5">_xlfn.T.INV.2T(0.05,[1]constants!$K5-1)*_xlfn.STDEV.S(IF(_xlfn.ANCHORARRAY([1]constants!$H$2)=$B5,'[1]raw data'!T$2:T$118))/SQRT([1]constants!$K5)</f>
        <v>3.6996196942238636E-2</v>
      </c>
      <c r="O5" s="6" cm="1">
        <f t="array" ref="O5">_xlfn.T.INV.2T(0.05,[1]constants!$K5-1)*_xlfn.STDEV.S(IF(_xlfn.ANCHORARRAY([1]constants!$H$2)=$B5,'[1]raw data'!U$2:U$118))/SQRT([1]constants!$K5)</f>
        <v>4.4366742591537306E-2</v>
      </c>
      <c r="P5" s="6" cm="1">
        <f t="array" ref="P5">_xlfn.T.INV.2T(0.05,[1]constants!$K5-1)*_xlfn.STDEV.S(IF(_xlfn.ANCHORARRAY([1]constants!$H$2)=$B5,'[1]raw data'!V$2:V$118))/SQRT([1]constants!$K5)</f>
        <v>2.707785527182505E-2</v>
      </c>
      <c r="Q5" s="6" cm="1">
        <f t="array" ref="Q5">SQRT((SQRT(SUMIF(_xlfn.ANCHORARRAY([1]constants!$H$2),$B5,[1]constants!O$2:O$118))/[1]constants!K5)^2+(_xlfn.T.INV.2T(0.05,[1]constants!$K5-1)*_xlfn.STDEV.S(IF(_xlfn.ANCHORARRAY([1]constants!$H$2)=$B5,'[1]raw data'!AI$2:AI$118))/SQRT([1]constants!$K5))^2)</f>
        <v>0.28839458722877009</v>
      </c>
      <c r="R5" s="6" cm="1">
        <f t="array" ref="R5">_xlfn.T.INV.2T(0.05,[1]constants!$K5-1)*_xlfn.STDEV.S(IF(_xlfn.ANCHORARRAY([1]constants!$H$2)=$B5,'[1]raw data'!Y$2:Y$118))/SQRT([1]constants!$K5)</f>
        <v>2.0930619424612233</v>
      </c>
      <c r="S5" s="6" cm="1">
        <f t="array" ref="S5">_xlfn.T.INV.2T(0.05,[1]constants!$K5-1)*_xlfn.STDEV.S(IF(_xlfn.ANCHORARRAY([1]constants!$H$2)=$B5,'[1]raw data'!Z$2:Z$118))/SQRT([1]constants!$K5)</f>
        <v>0.95376376265710128</v>
      </c>
      <c r="T5" s="2" cm="1">
        <f t="array" ref="T5">_xlfn.T.INV.2T(0.05,[1]constants!$K5-1)*_xlfn.STDEV.S(IF(_xlfn.ANCHORARRAY([1]constants!$H$2)=$B5,'[1]raw data'!AA$2:AA$118))/SQRT([1]constants!$K5)</f>
        <v>1.5948871410595382E-5</v>
      </c>
      <c r="U5" s="2" cm="1">
        <f t="array" ref="U5">_xlfn.T.INV.2T(0.05,[1]constants!$K5-1)*_xlfn.STDEV.S(IF(_xlfn.ANCHORARRAY([1]constants!$H$2)=$B5,'[1]raw data'!AB$2:AB$118))/SQRT([1]constants!$K5)</f>
        <v>1.5439372130295607E-4</v>
      </c>
      <c r="V5" s="2" cm="1">
        <f t="array" ref="V5">_xlfn.T.INV.2T(0.05,[1]constants!$K5-1)*_xlfn.STDEV.S(IF(_xlfn.ANCHORARRAY([1]constants!$H$2)=$B5,'[1]raw data'!AC$2:AC$118))/SQRT([1]constants!$K5)</f>
        <v>1.3140339921006028E-6</v>
      </c>
      <c r="W5" s="2" cm="1">
        <f t="array" ref="W5">_xlfn.T.INV.2T(0.05,[1]constants!$K5-1)*_xlfn.STDEV.S(IF(_xlfn.ANCHORARRAY([1]constants!$H$2)=$B5,'[1]raw data'!AD$2:AD$118))/SQRT([1]constants!$K5)</f>
        <v>1.2720561394971898E-5</v>
      </c>
      <c r="X5" s="2" cm="1">
        <f t="array" ref="X5">_xlfn.T.INV.2T(0.05,[1]constants!$K5-1)*_xlfn.STDEV.S(IF(_xlfn.ANCHORARRAY([1]constants!$H$2)=$B5,'[1]raw data'!AE$2:AE$118))/SQRT([1]constants!$K5)</f>
        <v>1.1466787114452269E-5</v>
      </c>
      <c r="Y5" s="6" cm="1">
        <f t="array" ref="Y5">_xlfn.T.INV.2T(0.05,[1]constants!$K5-1)*_xlfn.STDEV.S(IF(_xlfn.ANCHORARRAY([1]constants!$H$2)=$B5,'[1]raw data'!AF$2:AF$118))/SQRT([1]constants!$K5)</f>
        <v>2.1306392660911497E-3</v>
      </c>
    </row>
    <row r="6" spans="1:25" x14ac:dyDescent="0.3">
      <c r="A6" s="2" t="str">
        <f>[1]averages!A6</f>
        <v>R48M675TH08</v>
      </c>
      <c r="B6" s="3">
        <v>8</v>
      </c>
      <c r="C6" s="6" cm="1">
        <f t="array" ref="C6">_xlfn.T.INV.2T(0.05,[1]constants!$K6-1)*_xlfn.STDEV.S(IF(_xlfn.ANCHORARRAY([1]constants!$H$2)=$B6,'[1]raw data'!K$2:K$118))/SQRT([1]constants!$K6)</f>
        <v>4.0821490817170795E-3</v>
      </c>
      <c r="D6" s="6" cm="1">
        <f t="array" ref="D6">_xlfn.T.INV.2T(0.05,[1]constants!$K6-1)*_xlfn.STDEV.S(IF(_xlfn.ANCHORARRAY([1]constants!$H$2)=$B6,'[1]raw data'!L$2:L$118))/SQRT([1]constants!$K6)</f>
        <v>2.7553698485529399E-3</v>
      </c>
      <c r="E6" s="6" cm="1">
        <f t="array" ref="E6">_xlfn.T.INV.2T(0.05,[1]constants!$K6-1)*_xlfn.STDEV.S(IF(_xlfn.ANCHORARRAY([1]constants!$H$2)=$B6,'[1]raw data'!M$2:M$118))/SQRT([1]constants!$K6)</f>
        <v>4.300417091959597E-3</v>
      </c>
      <c r="F6" s="6">
        <f>IFERROR(_xlfn.T.INV.2T(0.05,[1]constants!$L6-1)*_xlfn.STDEV.S('[1]raw data'!N46:N52,'[1]raw data'!N54:N55)/SQRT([1]constants!$L6),0)</f>
        <v>0.35097883917567724</v>
      </c>
      <c r="G6" s="6" cm="1">
        <f t="array" ref="G6">SQRT((SQRT(SUMIF(_xlfn.ANCHORARRAY([1]constants!$H$2),$B6,[1]constants!M$2:M$118))/[1]constants!K6)^2+(_xlfn.T.INV.2T(0.05,[1]constants!$K6-1)*_xlfn.STDEV.S(IF(_xlfn.ANCHORARRAY([1]constants!$H$2)=$B6,'[1]raw data'!AG$2:AG$118))/SQRT([1]constants!K6))^2)</f>
        <v>0.21438252214022241</v>
      </c>
      <c r="H6" s="6" cm="1">
        <f t="array" ref="H6">_xlfn.T.INV.2T(0.05,[1]constants!$K6-1)*_xlfn.STDEV.S(IF(_xlfn.ANCHORARRAY([1]constants!$H$2)=$B6,'[1]raw data'!O$2:O$118))/SQRT([1]constants!$K6)</f>
        <v>7.2799287866058635E-3</v>
      </c>
      <c r="I6" s="6" cm="1">
        <f t="array" ref="I6">_xlfn.T.INV.2T(0.05,[1]constants!$K6-1)*_xlfn.STDEV.S(IF(_xlfn.ANCHORARRAY([1]constants!$H$2)=$B6,'[1]raw data'!P$2:P$118))/SQRT([1]constants!$K6)</f>
        <v>9.8760948731293364E-3</v>
      </c>
      <c r="J6" s="6" cm="1">
        <f t="array" ref="J6">_xlfn.T.INV.2T(0.05,[1]constants!$K6-1)*_xlfn.STDEV.S(IF(_xlfn.ANCHORARRAY([1]constants!$H$2)=$B6,'[1]raw data'!Q$2:Q$118))/SQRT([1]constants!$K6)</f>
        <v>8.548141564306392E-3</v>
      </c>
      <c r="K6" s="6" cm="1">
        <f t="array" ref="K6">_xlfn.T.INV.2T(0.05,[1]constants!$K6-1)*_xlfn.STDEV.S(IF(_xlfn.ANCHORARRAY([1]constants!$H$2)=$B6,'[1]raw data'!R$2:R$118))/SQRT([1]constants!$K6)</f>
        <v>7.9888323373199042E-3</v>
      </c>
      <c r="L6" s="6" cm="1">
        <f t="array" ref="L6">SQRT((SQRT(SUMIF(_xlfn.ANCHORARRAY([1]constants!$H$2),$B6,[1]constants!N$2:N$118))/[1]constants!K6)^2+(_xlfn.T.INV.2T(0.05,[1]constants!$K6-1)*_xlfn.STDEV.S(IF(_xlfn.ANCHORARRAY([1]constants!$H$2)=$B6,'[1]raw data'!AH$2:AH$118))/SQRT([1]constants!$K6))^2)</f>
        <v>6.4243594728721265E-2</v>
      </c>
      <c r="M6" s="6" cm="1">
        <f t="array" ref="M6">_xlfn.T.INV.2T(0.05,[1]constants!$K6-1)*_xlfn.STDEV.S(IF(_xlfn.ANCHORARRAY([1]constants!$H$2)=$B6,'[1]raw data'!S$2:S$118))/SQRT([1]constants!$K6)</f>
        <v>3.4359939954888799E-2</v>
      </c>
      <c r="N6" s="6" cm="1">
        <f t="array" ref="N6">_xlfn.T.INV.2T(0.05,[1]constants!$K6-1)*_xlfn.STDEV.S(IF(_xlfn.ANCHORARRAY([1]constants!$H$2)=$B6,'[1]raw data'!T$2:T$118))/SQRT([1]constants!$K6)</f>
        <v>3.0936568076148564E-2</v>
      </c>
      <c r="O6" s="6" cm="1">
        <f t="array" ref="O6">_xlfn.T.INV.2T(0.05,[1]constants!$K6-1)*_xlfn.STDEV.S(IF(_xlfn.ANCHORARRAY([1]constants!$H$2)=$B6,'[1]raw data'!U$2:U$118))/SQRT([1]constants!$K6)</f>
        <v>4.4821173439339335E-2</v>
      </c>
      <c r="P6" s="6" cm="1">
        <f t="array" ref="P6">_xlfn.T.INV.2T(0.05,[1]constants!$K6-1)*_xlfn.STDEV.S(IF(_xlfn.ANCHORARRAY([1]constants!$H$2)=$B6,'[1]raw data'!V$2:V$118))/SQRT([1]constants!$K6)</f>
        <v>3.4026584371399445E-2</v>
      </c>
      <c r="Q6" s="6" cm="1">
        <f t="array" ref="Q6">SQRT((SQRT(SUMIF(_xlfn.ANCHORARRAY([1]constants!$H$2),$B6,[1]constants!O$2:O$118))/[1]constants!K6)^2+(_xlfn.T.INV.2T(0.05,[1]constants!$K6-1)*_xlfn.STDEV.S(IF(_xlfn.ANCHORARRAY([1]constants!$H$2)=$B6,'[1]raw data'!AI$2:AI$118))/SQRT([1]constants!$K6))^2)</f>
        <v>0.28371667633781561</v>
      </c>
      <c r="R6" s="6" cm="1">
        <f t="array" ref="R6">_xlfn.T.INV.2T(0.05,[1]constants!$K6-1)*_xlfn.STDEV.S(IF(_xlfn.ANCHORARRAY([1]constants!$H$2)=$B6,'[1]raw data'!Y$2:Y$118))/SQRT([1]constants!$K6)</f>
        <v>3.9735834019985887</v>
      </c>
      <c r="S6" s="6" cm="1">
        <f t="array" ref="S6">_xlfn.T.INV.2T(0.05,[1]constants!$K6-1)*_xlfn.STDEV.S(IF(_xlfn.ANCHORARRAY([1]constants!$H$2)=$B6,'[1]raw data'!Z$2:Z$118))/SQRT([1]constants!$K6)</f>
        <v>1.3020148116309243</v>
      </c>
      <c r="T6" s="2" cm="1">
        <f t="array" ref="T6">_xlfn.T.INV.2T(0.05,[1]constants!$K6-1)*_xlfn.STDEV.S(IF(_xlfn.ANCHORARRAY([1]constants!$H$2)=$B6,'[1]raw data'!AA$2:AA$118))/SQRT([1]constants!$K6)</f>
        <v>3.1080581941710126E-5</v>
      </c>
      <c r="U6" s="2" cm="1">
        <f t="array" ref="U6">_xlfn.T.INV.2T(0.05,[1]constants!$K6-1)*_xlfn.STDEV.S(IF(_xlfn.ANCHORARRAY([1]constants!$H$2)=$B6,'[1]raw data'!AB$2:AB$118))/SQRT([1]constants!$K6)</f>
        <v>3.0087688230116285E-4</v>
      </c>
      <c r="V6" s="2" cm="1">
        <f t="array" ref="V6">_xlfn.T.INV.2T(0.05,[1]constants!$K6-1)*_xlfn.STDEV.S(IF(_xlfn.ANCHORARRAY([1]constants!$H$2)=$B6,'[1]raw data'!AC$2:AC$118))/SQRT([1]constants!$K6)</f>
        <v>1.8631355907222624E-6</v>
      </c>
      <c r="W6" s="2" cm="1">
        <f t="array" ref="W6">_xlfn.T.INV.2T(0.05,[1]constants!$K6-1)*_xlfn.STDEV.S(IF(_xlfn.ANCHORARRAY([1]constants!$H$2)=$B6,'[1]raw data'!AD$2:AD$118))/SQRT([1]constants!$K6)</f>
        <v>1.8036162543293957E-5</v>
      </c>
      <c r="X6" s="2" cm="1">
        <f t="array" ref="X6">_xlfn.T.INV.2T(0.05,[1]constants!$K6-1)*_xlfn.STDEV.S(IF(_xlfn.ANCHORARRAY([1]constants!$H$2)=$B6,'[1]raw data'!AE$2:AE$118))/SQRT([1]constants!$K6)</f>
        <v>2.4324343754459352E-5</v>
      </c>
      <c r="Y6" s="6" cm="1">
        <f t="array" ref="Y6">_xlfn.T.INV.2T(0.05,[1]constants!$K6-1)*_xlfn.STDEV.S(IF(_xlfn.ANCHORARRAY([1]constants!$H$2)=$B6,'[1]raw data'!AF$2:AF$118))/SQRT([1]constants!$K6)</f>
        <v>3.4806850986686061E-3</v>
      </c>
    </row>
    <row r="7" spans="1:25" x14ac:dyDescent="0.3">
      <c r="A7" s="2" t="str">
        <f>[1]averages!A7</f>
        <v>R48M675TH09</v>
      </c>
      <c r="B7" s="3">
        <v>9</v>
      </c>
      <c r="C7" s="6" cm="1">
        <f t="array" ref="C7">_xlfn.T.INV.2T(0.05,[1]constants!$K7-1)*_xlfn.STDEV.S(IF(_xlfn.ANCHORARRAY([1]constants!$H$2)=$B7,'[1]raw data'!K$2:K$118))/SQRT([1]constants!$K7)</f>
        <v>4.3514598657625712E-3</v>
      </c>
      <c r="D7" s="6" cm="1">
        <f t="array" ref="D7">_xlfn.T.INV.2T(0.05,[1]constants!$K7-1)*_xlfn.STDEV.S(IF(_xlfn.ANCHORARRAY([1]constants!$H$2)=$B7,'[1]raw data'!L$2:L$118))/SQRT([1]constants!$K7)</f>
        <v>2.2224951891745533E-3</v>
      </c>
      <c r="E7" s="6" cm="1">
        <f t="array" ref="E7">_xlfn.T.INV.2T(0.05,[1]constants!$K7-1)*_xlfn.STDEV.S(IF(_xlfn.ANCHORARRAY([1]constants!$H$2)=$B7,'[1]raw data'!M$2:M$118))/SQRT([1]constants!$K7)</f>
        <v>3.8625034273798908E-3</v>
      </c>
      <c r="F7" s="6" cm="1">
        <f t="array" ref="F7">IFERROR(_xlfn.T.INV.2T(0.05,[1]constants!$L7-1)*_xlfn.STDEV.S(IF(_xlfn.ANCHORARRAY([1]constants!$H$2)=$B7,'[1]raw data'!N$2:N$118))/SQRT([1]constants!$L7),0)</f>
        <v>2.925371967101928E-3</v>
      </c>
      <c r="G7" s="6" cm="1">
        <f t="array" ref="G7">SQRT((SQRT(SUMIF(_xlfn.ANCHORARRAY([1]constants!$H$2),$B7,[1]constants!M$2:M$118))/[1]constants!K7)^2+(_xlfn.T.INV.2T(0.05,[1]constants!$K7-1)*_xlfn.STDEV.S(IF(_xlfn.ANCHORARRAY([1]constants!$H$2)=$B7,'[1]raw data'!AG$2:AG$118))/SQRT([1]constants!K7))^2)</f>
        <v>0.16747728009382526</v>
      </c>
      <c r="H7" s="6" cm="1">
        <f t="array" ref="H7">_xlfn.T.INV.2T(0.05,[1]constants!$K7-1)*_xlfn.STDEV.S(IF(_xlfn.ANCHORARRAY([1]constants!$H$2)=$B7,'[1]raw data'!O$2:O$118))/SQRT([1]constants!$K7)</f>
        <v>1.0717259478096416E-2</v>
      </c>
      <c r="I7" s="6" cm="1">
        <f t="array" ref="I7">_xlfn.T.INV.2T(0.05,[1]constants!$K7-1)*_xlfn.STDEV.S(IF(_xlfn.ANCHORARRAY([1]constants!$H$2)=$B7,'[1]raw data'!P$2:P$118))/SQRT([1]constants!$K7)</f>
        <v>6.8820104513697255E-3</v>
      </c>
      <c r="J7" s="6" cm="1">
        <f t="array" ref="J7">_xlfn.T.INV.2T(0.05,[1]constants!$K7-1)*_xlfn.STDEV.S(IF(_xlfn.ANCHORARRAY([1]constants!$H$2)=$B7,'[1]raw data'!Q$2:Q$118))/SQRT([1]constants!$K7)</f>
        <v>7.0154389564061372E-3</v>
      </c>
      <c r="K7" s="6" cm="1">
        <f t="array" ref="K7">_xlfn.T.INV.2T(0.05,[1]constants!$K7-1)*_xlfn.STDEV.S(IF(_xlfn.ANCHORARRAY([1]constants!$H$2)=$B7,'[1]raw data'!R$2:R$118))/SQRT([1]constants!$K7)</f>
        <v>8.8776958908812851E-3</v>
      </c>
      <c r="L7" s="6" cm="1">
        <f t="array" ref="L7">SQRT((SQRT(SUMIF(_xlfn.ANCHORARRAY([1]constants!$H$2),$B7,[1]constants!N$2:N$118))/[1]constants!K7)^2+(_xlfn.T.INV.2T(0.05,[1]constants!$K7-1)*_xlfn.STDEV.S(IF(_xlfn.ANCHORARRAY([1]constants!$H$2)=$B7,'[1]raw data'!AH$2:AH$118))/SQRT([1]constants!$K7))^2)</f>
        <v>6.4701876652025203E-2</v>
      </c>
      <c r="M7" s="6" cm="1">
        <f t="array" ref="M7">_xlfn.T.INV.2T(0.05,[1]constants!$K7-1)*_xlfn.STDEV.S(IF(_xlfn.ANCHORARRAY([1]constants!$H$2)=$B7,'[1]raw data'!S$2:S$118))/SQRT([1]constants!$K7)</f>
        <v>2.0347806303637167E-2</v>
      </c>
      <c r="N7" s="6" cm="1">
        <f t="array" ref="N7">_xlfn.T.INV.2T(0.05,[1]constants!$K7-1)*_xlfn.STDEV.S(IF(_xlfn.ANCHORARRAY([1]constants!$H$2)=$B7,'[1]raw data'!T$2:T$118))/SQRT([1]constants!$K7)</f>
        <v>1.3830724821229538E-2</v>
      </c>
      <c r="O7" s="6" cm="1">
        <f t="array" ref="O7">_xlfn.T.INV.2T(0.05,[1]constants!$K7-1)*_xlfn.STDEV.S(IF(_xlfn.ANCHORARRAY([1]constants!$H$2)=$B7,'[1]raw data'!U$2:U$118))/SQRT([1]constants!$K7)</f>
        <v>2.067892563103739E-2</v>
      </c>
      <c r="P7" s="6" cm="1">
        <f t="array" ref="P7">_xlfn.T.INV.2T(0.05,[1]constants!$K7-1)*_xlfn.STDEV.S(IF(_xlfn.ANCHORARRAY([1]constants!$H$2)=$B7,'[1]raw data'!V$2:V$118))/SQRT([1]constants!$K7)</f>
        <v>2.5929929253636529E-2</v>
      </c>
      <c r="Q7" s="6" cm="1">
        <f t="array" ref="Q7">SQRT((SQRT(SUMIF(_xlfn.ANCHORARRAY([1]constants!$H$2),$B7,[1]constants!O$2:O$118))/[1]constants!K7)^2+(_xlfn.T.INV.2T(0.05,[1]constants!$K7-1)*_xlfn.STDEV.S(IF(_xlfn.ANCHORARRAY([1]constants!$H$2)=$B7,'[1]raw data'!AI$2:AI$118))/SQRT([1]constants!$K7))^2)</f>
        <v>0.26729454357566274</v>
      </c>
      <c r="R7" s="6" cm="1">
        <f t="array" ref="R7">_xlfn.T.INV.2T(0.05,[1]constants!$K7-1)*_xlfn.STDEV.S(IF(_xlfn.ANCHORARRAY([1]constants!$H$2)=$B7,'[1]raw data'!Y$2:Y$118))/SQRT([1]constants!$K7)</f>
        <v>3.6965763031243868</v>
      </c>
      <c r="S7" s="6" cm="1">
        <f t="array" ref="S7">_xlfn.T.INV.2T(0.05,[1]constants!$K7-1)*_xlfn.STDEV.S(IF(_xlfn.ANCHORARRAY([1]constants!$H$2)=$B7,'[1]raw data'!Z$2:Z$118))/SQRT([1]constants!$K7)</f>
        <v>1.1780632327053244</v>
      </c>
      <c r="T7" s="2" cm="1">
        <f t="array" ref="T7">_xlfn.T.INV.2T(0.05,[1]constants!$K7-1)*_xlfn.STDEV.S(IF(_xlfn.ANCHORARRAY([1]constants!$H$2)=$B7,'[1]raw data'!AA$2:AA$118))/SQRT([1]constants!$K7)</f>
        <v>2.9366440560625964E-5</v>
      </c>
      <c r="U7" s="2" cm="1">
        <f t="array" ref="U7">_xlfn.T.INV.2T(0.05,[1]constants!$K7-1)*_xlfn.STDEV.S(IF(_xlfn.ANCHORARRAY([1]constants!$H$2)=$B7,'[1]raw data'!AB$2:AB$118))/SQRT([1]constants!$K7)</f>
        <v>2.8428306447847099E-4</v>
      </c>
      <c r="V7" s="2" cm="1">
        <f t="array" ref="V7">_xlfn.T.INV.2T(0.05,[1]constants!$K7-1)*_xlfn.STDEV.S(IF(_xlfn.ANCHORARRAY([1]constants!$H$2)=$B7,'[1]raw data'!AC$2:AC$118))/SQRT([1]constants!$K7)</f>
        <v>1.7314083286149669E-6</v>
      </c>
      <c r="W7" s="2" cm="1">
        <f t="array" ref="W7">_xlfn.T.INV.2T(0.05,[1]constants!$K7-1)*_xlfn.STDEV.S(IF(_xlfn.ANCHORARRAY([1]constants!$H$2)=$B7,'[1]raw data'!AD$2:AD$118))/SQRT([1]constants!$K7)</f>
        <v>1.676097123538195E-5</v>
      </c>
      <c r="X7" s="2" cm="1">
        <f t="array" ref="X7">_xlfn.T.INV.2T(0.05,[1]constants!$K7-1)*_xlfn.STDEV.S(IF(_xlfn.ANCHORARRAY([1]constants!$H$2)=$B7,'[1]raw data'!AE$2:AE$118))/SQRT([1]constants!$K7)</f>
        <v>2.4766974716841002E-5</v>
      </c>
      <c r="Y7" s="6" cm="1">
        <f t="array" ref="Y7">_xlfn.T.INV.2T(0.05,[1]constants!$K7-1)*_xlfn.STDEV.S(IF(_xlfn.ANCHORARRAY([1]constants!$H$2)=$B7,'[1]raw data'!AF$2:AF$118))/SQRT([1]constants!$K7)</f>
        <v>2.8777135564045661E-3</v>
      </c>
    </row>
    <row r="8" spans="1:25" x14ac:dyDescent="0.3">
      <c r="A8" s="2" t="str">
        <f>[1]averages!A8</f>
        <v>R48M675TH10</v>
      </c>
      <c r="B8" s="3">
        <v>10</v>
      </c>
      <c r="C8" s="6" cm="1">
        <f t="array" ref="C8">_xlfn.T.INV.2T(0.05,[1]constants!$K8-1)*_xlfn.STDEV.S(IF(_xlfn.ANCHORARRAY([1]constants!$H$2)=$B8,'[1]raw data'!K$2:K$118))/SQRT([1]constants!$K8)</f>
        <v>5.4745638720900469E-3</v>
      </c>
      <c r="D8" s="6" cm="1">
        <f t="array" ref="D8">_xlfn.T.INV.2T(0.05,[1]constants!$K8-1)*_xlfn.STDEV.S(IF(_xlfn.ANCHORARRAY([1]constants!$H$2)=$B8,'[1]raw data'!L$2:L$118))/SQRT([1]constants!$K8)</f>
        <v>3.8013772516200034E-3</v>
      </c>
      <c r="E8" s="6" cm="1">
        <f t="array" ref="E8">_xlfn.T.INV.2T(0.05,[1]constants!$K8-1)*_xlfn.STDEV.S(IF(_xlfn.ANCHORARRAY([1]constants!$H$2)=$B8,'[1]raw data'!M$2:M$118))/SQRT([1]constants!$K8)</f>
        <v>3.909146705068694E-3</v>
      </c>
      <c r="F8" s="6">
        <f>IFERROR(_xlfn.T.INV.2T(0.05,[1]constants!$L8-1)*_xlfn.STDEV.S('[1]raw data'!N66,'[1]raw data'!N69:N75)/SQRT([1]constants!$L8),0)</f>
        <v>4.693914083361601E-3</v>
      </c>
      <c r="G8" s="6" cm="1">
        <f t="array" ref="G8">SQRT((SQRT(SUMIF(_xlfn.ANCHORARRAY([1]constants!$H$2),$B8,[1]constants!M$2:M$118))/[1]constants!K8)^2+(_xlfn.T.INV.2T(0.05,[1]constants!$K8-1)*_xlfn.STDEV.S(IF(_xlfn.ANCHORARRAY([1]constants!$H$2)=$B8,'[1]raw data'!AG$2:AG$118))/SQRT([1]constants!K8))^2)</f>
        <v>0.17933816011999504</v>
      </c>
      <c r="H8" s="6" cm="1">
        <f t="array" ref="H8">_xlfn.T.INV.2T(0.05,[1]constants!$K8-1)*_xlfn.STDEV.S(IF(_xlfn.ANCHORARRAY([1]constants!$H$2)=$B8,'[1]raw data'!O$2:O$118))/SQRT([1]constants!$K8)</f>
        <v>1.5107839357876886E-2</v>
      </c>
      <c r="I8" s="6" cm="1">
        <f t="array" ref="I8">_xlfn.T.INV.2T(0.05,[1]constants!$K8-1)*_xlfn.STDEV.S(IF(_xlfn.ANCHORARRAY([1]constants!$H$2)=$B8,'[1]raw data'!P$2:P$118))/SQRT([1]constants!$K8)</f>
        <v>1.4890861360643099E-2</v>
      </c>
      <c r="J8" s="6" cm="1">
        <f t="array" ref="J8">_xlfn.T.INV.2T(0.05,[1]constants!$K8-1)*_xlfn.STDEV.S(IF(_xlfn.ANCHORARRAY([1]constants!$H$2)=$B8,'[1]raw data'!Q$2:Q$118))/SQRT([1]constants!$K8)</f>
        <v>1.5812306716436835E-2</v>
      </c>
      <c r="K8" s="6" cm="1">
        <f t="array" ref="K8">_xlfn.T.INV.2T(0.05,[1]constants!$K8-1)*_xlfn.STDEV.S(IF(_xlfn.ANCHORARRAY([1]constants!$H$2)=$B8,'[1]raw data'!R$2:R$118))/SQRT([1]constants!$K8)</f>
        <v>1.5169787099862697E-2</v>
      </c>
      <c r="L8" s="6" cm="1">
        <f t="array" ref="L8">SQRT((SQRT(SUMIF(_xlfn.ANCHORARRAY([1]constants!$H$2),$B8,[1]constants!N$2:N$118))/[1]constants!K8)^2+(_xlfn.T.INV.2T(0.05,[1]constants!$K8-1)*_xlfn.STDEV.S(IF(_xlfn.ANCHORARRAY([1]constants!$H$2)=$B8,'[1]raw data'!AH$2:AH$118))/SQRT([1]constants!$K8))^2)</f>
        <v>6.8604603573212575E-2</v>
      </c>
      <c r="M8" s="6" cm="1">
        <f t="array" ref="M8">_xlfn.T.INV.2T(0.05,[1]constants!$K8-1)*_xlfn.STDEV.S(IF(_xlfn.ANCHORARRAY([1]constants!$H$2)=$B8,'[1]raw data'!S$2:S$118))/SQRT([1]constants!$K8)</f>
        <v>5.5562669335331646E-3</v>
      </c>
      <c r="N8" s="6" cm="1">
        <f t="array" ref="N8">_xlfn.T.INV.2T(0.05,[1]constants!$K8-1)*_xlfn.STDEV.S(IF(_xlfn.ANCHORARRAY([1]constants!$H$2)=$B8,'[1]raw data'!T$2:T$118))/SQRT([1]constants!$K8)</f>
        <v>2.1790464938851134E-3</v>
      </c>
      <c r="O8" s="6" cm="1">
        <f t="array" ref="O8">_xlfn.T.INV.2T(0.05,[1]constants!$K8-1)*_xlfn.STDEV.S(IF(_xlfn.ANCHORARRAY([1]constants!$H$2)=$B8,'[1]raw data'!U$2:U$118))/SQRT([1]constants!$K8)</f>
        <v>9.2629326220025742E-3</v>
      </c>
      <c r="P8" s="6" cm="1">
        <f t="array" ref="P8">_xlfn.T.INV.2T(0.05,[1]constants!$K8-1)*_xlfn.STDEV.S(IF(_xlfn.ANCHORARRAY([1]constants!$H$2)=$B8,'[1]raw data'!V$2:V$118))/SQRT([1]constants!$K8)</f>
        <v>7.7195063484551789E-3</v>
      </c>
      <c r="Q8" s="6" cm="1">
        <f t="array" ref="Q8">SQRT((SQRT(SUMIF(_xlfn.ANCHORARRAY([1]constants!$H$2),$B8,[1]constants!O$2:O$118))/[1]constants!K8)^2+(_xlfn.T.INV.2T(0.05,[1]constants!$K8-1)*_xlfn.STDEV.S(IF(_xlfn.ANCHORARRAY([1]constants!$H$2)=$B8,'[1]raw data'!AI$2:AI$118))/SQRT([1]constants!$K8))^2)</f>
        <v>0.23846198137754859</v>
      </c>
      <c r="R8" s="6" cm="1">
        <f t="array" ref="R8">_xlfn.T.INV.2T(0.05,[1]constants!$K8-1)*_xlfn.STDEV.S(IF(_xlfn.ANCHORARRAY([1]constants!$H$2)=$B8,'[1]raw data'!Y$2:Y$118))/SQRT([1]constants!$K8)</f>
        <v>6.8261219215980926</v>
      </c>
      <c r="S8" s="6" cm="1">
        <f t="array" ref="S8">_xlfn.T.INV.2T(0.05,[1]constants!$K8-1)*_xlfn.STDEV.S(IF(_xlfn.ANCHORARRAY([1]constants!$H$2)=$B8,'[1]raw data'!Z$2:Z$118))/SQRT([1]constants!$K8)</f>
        <v>2.8869455755329518</v>
      </c>
      <c r="T8" s="2" cm="1">
        <f t="array" ref="T8">_xlfn.T.INV.2T(0.05,[1]constants!$K8-1)*_xlfn.STDEV.S(IF(_xlfn.ANCHORARRAY([1]constants!$H$2)=$B8,'[1]raw data'!AA$2:AA$118))/SQRT([1]constants!$K8)</f>
        <v>5.328756054473432E-5</v>
      </c>
      <c r="U8" s="2" cm="1">
        <f t="array" ref="U8">_xlfn.T.INV.2T(0.05,[1]constants!$K8-1)*_xlfn.STDEV.S(IF(_xlfn.ANCHORARRAY([1]constants!$H$2)=$B8,'[1]raw data'!AB$2:AB$118))/SQRT([1]constants!$K8)</f>
        <v>5.1585247381156097E-4</v>
      </c>
      <c r="V8" s="2" cm="1">
        <f t="array" ref="V8">_xlfn.T.INV.2T(0.05,[1]constants!$K8-1)*_xlfn.STDEV.S(IF(_xlfn.ANCHORARRAY([1]constants!$H$2)=$B8,'[1]raw data'!AC$2:AC$118))/SQRT([1]constants!$K8)</f>
        <v>4.0768078275672717E-6</v>
      </c>
      <c r="W8" s="2" cm="1">
        <f t="array" ref="W8">_xlfn.T.INV.2T(0.05,[1]constants!$K8-1)*_xlfn.STDEV.S(IF(_xlfn.ANCHORARRAY([1]constants!$H$2)=$B8,'[1]raw data'!AD$2:AD$118))/SQRT([1]constants!$K8)</f>
        <v>3.9465709850602908E-5</v>
      </c>
      <c r="X8" s="2" cm="1">
        <f t="array" ref="X8">_xlfn.T.INV.2T(0.05,[1]constants!$K8-1)*_xlfn.STDEV.S(IF(_xlfn.ANCHORARRAY([1]constants!$H$2)=$B8,'[1]raw data'!AE$2:AE$118))/SQRT([1]constants!$K8)</f>
        <v>4.8175592989421474E-5</v>
      </c>
      <c r="Y8" s="6" cm="1">
        <f t="array" ref="Y8">_xlfn.T.INV.2T(0.05,[1]constants!$K8-1)*_xlfn.STDEV.S(IF(_xlfn.ANCHORARRAY([1]constants!$H$2)=$B8,'[1]raw data'!AF$2:AF$118))/SQRT([1]constants!$K8)</f>
        <v>3.3494046032843E-3</v>
      </c>
    </row>
    <row r="9" spans="1:25" x14ac:dyDescent="0.3">
      <c r="A9" s="2" t="str">
        <f>[1]averages!A9</f>
        <v>R48M675TH11</v>
      </c>
      <c r="B9" s="3">
        <v>11</v>
      </c>
      <c r="C9" s="6" cm="1">
        <f t="array" ref="C9">_xlfn.T.INV.2T(0.05,[1]constants!$K9-1)*_xlfn.STDEV.S(IF(_xlfn.ANCHORARRAY([1]constants!$H$2)=$B9,'[1]raw data'!K$2:K$118))/SQRT([1]constants!$K9)</f>
        <v>6.6548444798281373E-3</v>
      </c>
      <c r="D9" s="6" cm="1">
        <f t="array" ref="D9">_xlfn.T.INV.2T(0.05,[1]constants!$K9-1)*_xlfn.STDEV.S(IF(_xlfn.ANCHORARRAY([1]constants!$H$2)=$B9,'[1]raw data'!L$2:L$118))/SQRT([1]constants!$K9)</f>
        <v>2.0709551540225618E-3</v>
      </c>
      <c r="E9" s="6" cm="1">
        <f t="array" ref="E9">_xlfn.T.INV.2T(0.05,[1]constants!$K9-1)*_xlfn.STDEV.S(IF(_xlfn.ANCHORARRAY([1]constants!$H$2)=$B9,'[1]raw data'!M$2:M$118))/SQRT([1]constants!$K9)</f>
        <v>4.5753584968771391E-3</v>
      </c>
      <c r="F9" s="6">
        <f>IFERROR(_xlfn.T.INV.2T(0.05,[1]constants!$L9-1)*_xlfn.STDEV.S('[1]raw data'!N76:N78,'[1]raw data'!N81,'[1]raw data'!N84:N85)/SQRT([1]constants!$L9),0)</f>
        <v>6.9296929961623482E-3</v>
      </c>
      <c r="G9" s="6" cm="1">
        <f t="array" ref="G9">SQRT((SQRT(SUMIF(_xlfn.ANCHORARRAY([1]constants!$H$2),$B9,[1]constants!M$2:M$118))/[1]constants!K9)^2+(_xlfn.T.INV.2T(0.05,[1]constants!$K9-1)*_xlfn.STDEV.S(IF(_xlfn.ANCHORARRAY([1]constants!$H$2)=$B9,'[1]raw data'!AG$2:AG$118))/SQRT([1]constants!K9))^2)</f>
        <v>0.18102816721531442</v>
      </c>
      <c r="H9" s="6" cm="1">
        <f t="array" ref="H9">_xlfn.T.INV.2T(0.05,[1]constants!$K9-1)*_xlfn.STDEV.S(IF(_xlfn.ANCHORARRAY([1]constants!$H$2)=$B9,'[1]raw data'!O$2:O$118))/SQRT([1]constants!$K9)</f>
        <v>9.4781417155773446E-3</v>
      </c>
      <c r="I9" s="6" cm="1">
        <f t="array" ref="I9">_xlfn.T.INV.2T(0.05,[1]constants!$K9-1)*_xlfn.STDEV.S(IF(_xlfn.ANCHORARRAY([1]constants!$H$2)=$B9,'[1]raw data'!P$2:P$118))/SQRT([1]constants!$K9)</f>
        <v>6.7868639613136786E-3</v>
      </c>
      <c r="J9" s="6" cm="1">
        <f t="array" ref="J9">_xlfn.T.INV.2T(0.05,[1]constants!$K9-1)*_xlfn.STDEV.S(IF(_xlfn.ANCHORARRAY([1]constants!$H$2)=$B9,'[1]raw data'!Q$2:Q$118))/SQRT([1]constants!$K9)</f>
        <v>6.858410069254345E-3</v>
      </c>
      <c r="K9" s="6" cm="1">
        <f t="array" ref="K9">_xlfn.T.INV.2T(0.05,[1]constants!$K9-1)*_xlfn.STDEV.S(IF(_xlfn.ANCHORARRAY([1]constants!$H$2)=$B9,'[1]raw data'!R$2:R$118))/SQRT([1]constants!$K9)</f>
        <v>1.0011496756112948E-2</v>
      </c>
      <c r="L9" s="6" cm="1">
        <f t="array" ref="L9">SQRT((SQRT(SUMIF(_xlfn.ANCHORARRAY([1]constants!$H$2),$B9,[1]constants!N$2:N$118))/[1]constants!K9)^2+(_xlfn.T.INV.2T(0.05,[1]constants!$K9-1)*_xlfn.STDEV.S(IF(_xlfn.ANCHORARRAY([1]constants!$H$2)=$B9,'[1]raw data'!AH$2:AH$118))/SQRT([1]constants!$K9))^2)</f>
        <v>6.520286815114297E-2</v>
      </c>
      <c r="M9" s="6" cm="1">
        <f t="array" ref="M9">_xlfn.T.INV.2T(0.05,[1]constants!$K9-1)*_xlfn.STDEV.S(IF(_xlfn.ANCHORARRAY([1]constants!$H$2)=$B9,'[1]raw data'!S$2:S$118))/SQRT([1]constants!$K9)</f>
        <v>7.7793498859485624E-3</v>
      </c>
      <c r="N9" s="6" cm="1">
        <f t="array" ref="N9">_xlfn.T.INV.2T(0.05,[1]constants!$K9-1)*_xlfn.STDEV.S(IF(_xlfn.ANCHORARRAY([1]constants!$H$2)=$B9,'[1]raw data'!T$2:T$118))/SQRT([1]constants!$K9)</f>
        <v>1.039889641464541E-3</v>
      </c>
      <c r="O9" s="6" cm="1">
        <f t="array" ref="O9">_xlfn.T.INV.2T(0.05,[1]constants!$K9-1)*_xlfn.STDEV.S(IF(_xlfn.ANCHORARRAY([1]constants!$H$2)=$B9,'[1]raw data'!U$2:U$118))/SQRT([1]constants!$K9)</f>
        <v>2.766956064132524E-3</v>
      </c>
      <c r="P9" s="6" cm="1">
        <f t="array" ref="P9">_xlfn.T.INV.2T(0.05,[1]constants!$K9-1)*_xlfn.STDEV.S(IF(_xlfn.ANCHORARRAY([1]constants!$H$2)=$B9,'[1]raw data'!V$2:V$118))/SQRT([1]constants!$K9)</f>
        <v>1.4986799455429902E-2</v>
      </c>
      <c r="Q9" s="6" cm="1">
        <f t="array" ref="Q9">SQRT((SQRT(SUMIF(_xlfn.ANCHORARRAY([1]constants!$H$2),$B9,[1]constants!O$2:O$118))/[1]constants!K9)^2+(_xlfn.T.INV.2T(0.05,[1]constants!$K9-1)*_xlfn.STDEV.S(IF(_xlfn.ANCHORARRAY([1]constants!$H$2)=$B9,'[1]raw data'!AI$2:AI$118))/SQRT([1]constants!$K9))^2)</f>
        <v>0.20622738269488725</v>
      </c>
      <c r="R9" s="6" cm="1">
        <f t="array" ref="R9">_xlfn.T.INV.2T(0.05,[1]constants!$K9-1)*_xlfn.STDEV.S(IF(_xlfn.ANCHORARRAY([1]constants!$H$2)=$B9,'[1]raw data'!Y$2:Y$118))/SQRT([1]constants!$K9)</f>
        <v>5.3467870256870871</v>
      </c>
      <c r="S9" s="6" cm="1">
        <f t="array" ref="S9">_xlfn.T.INV.2T(0.05,[1]constants!$K9-1)*_xlfn.STDEV.S(IF(_xlfn.ANCHORARRAY([1]constants!$H$2)=$B9,'[1]raw data'!Z$2:Z$118))/SQRT([1]constants!$K9)</f>
        <v>1.8356258627346635</v>
      </c>
      <c r="T9" s="2" cm="1">
        <f t="array" ref="T9">_xlfn.T.INV.2T(0.05,[1]constants!$K9-1)*_xlfn.STDEV.S(IF(_xlfn.ANCHORARRAY([1]constants!$H$2)=$B9,'[1]raw data'!AA$2:AA$118))/SQRT([1]constants!$K9)</f>
        <v>4.2052615381553722E-5</v>
      </c>
      <c r="U9" s="2" cm="1">
        <f t="array" ref="U9">_xlfn.T.INV.2T(0.05,[1]constants!$K9-1)*_xlfn.STDEV.S(IF(_xlfn.ANCHORARRAY([1]constants!$H$2)=$B9,'[1]raw data'!AB$2:AB$118))/SQRT([1]constants!$K9)</f>
        <v>4.0709211405182681E-4</v>
      </c>
      <c r="V9" s="2" cm="1">
        <f t="array" ref="V9">_xlfn.T.INV.2T(0.05,[1]constants!$K9-1)*_xlfn.STDEV.S(IF(_xlfn.ANCHORARRAY([1]constants!$H$2)=$B9,'[1]raw data'!AC$2:AC$118))/SQRT([1]constants!$K9)</f>
        <v>2.7164347016237118E-6</v>
      </c>
      <c r="W9" s="2" cm="1">
        <f t="array" ref="W9">_xlfn.T.INV.2T(0.05,[1]constants!$K9-1)*_xlfn.STDEV.S(IF(_xlfn.ANCHORARRAY([1]constants!$H$2)=$B9,'[1]raw data'!AD$2:AD$118))/SQRT([1]constants!$K9)</f>
        <v>2.6296560519106648E-5</v>
      </c>
      <c r="X9" s="2" cm="1">
        <f t="array" ref="X9">_xlfn.T.INV.2T(0.05,[1]constants!$K9-1)*_xlfn.STDEV.S(IF(_xlfn.ANCHORARRAY([1]constants!$H$2)=$B9,'[1]raw data'!AE$2:AE$118))/SQRT([1]constants!$K9)</f>
        <v>4.052406495930554E-5</v>
      </c>
      <c r="Y9" s="6" cm="1">
        <f t="array" ref="Y9">_xlfn.T.INV.2T(0.05,[1]constants!$K9-1)*_xlfn.STDEV.S(IF(_xlfn.ANCHORARRAY([1]constants!$H$2)=$B9,'[1]raw data'!AF$2:AF$118))/SQRT([1]constants!$K9)</f>
        <v>3.6541139008833341E-3</v>
      </c>
    </row>
    <row r="10" spans="1:25" x14ac:dyDescent="0.3">
      <c r="A10" s="2" t="str">
        <f>[1]averages!A10</f>
        <v>R48M675TH12</v>
      </c>
      <c r="B10" s="3">
        <v>12</v>
      </c>
      <c r="C10" s="6" cm="1">
        <f t="array" ref="C10">_xlfn.T.INV.2T(0.05,[1]constants!$K10-1)*_xlfn.STDEV.S(IF(_xlfn.ANCHORARRAY([1]constants!$H$2)=$B10,'[1]raw data'!K$2:K$118))/SQRT([1]constants!$K10)</f>
        <v>7.242844913245697E-3</v>
      </c>
      <c r="D10" s="6" cm="1">
        <f t="array" ref="D10">_xlfn.T.INV.2T(0.05,[1]constants!$K10-1)*_xlfn.STDEV.S(IF(_xlfn.ANCHORARRAY([1]constants!$H$2)=$B10,'[1]raw data'!L$2:L$118))/SQRT([1]constants!$K10)</f>
        <v>3.2220191758018479E-3</v>
      </c>
      <c r="E10" s="6" cm="1">
        <f t="array" ref="E10">_xlfn.T.INV.2T(0.05,[1]constants!$K10-1)*_xlfn.STDEV.S(IF(_xlfn.ANCHORARRAY([1]constants!$H$2)=$B10,'[1]raw data'!M$2:M$118))/SQRT([1]constants!$K10)</f>
        <v>4.1007487561971999E-3</v>
      </c>
      <c r="F10" s="6" cm="1">
        <f t="array" ref="F10">IFERROR(_xlfn.T.INV.2T(0.05,[1]constants!$L10-1)*_xlfn.STDEV.S(IF(_xlfn.ANCHORARRAY([1]constants!$H$2)=$B10,'[1]raw data'!N$2:N$118))/SQRT([1]constants!$L10),0)</f>
        <v>3.3825700866035109E-3</v>
      </c>
      <c r="G10" s="6" cm="1">
        <f t="array" ref="G10">SQRT((SQRT(SUMIF(_xlfn.ANCHORARRAY([1]constants!$H$2),$B10,[1]constants!M$2:M$118))/[1]constants!K10)^2+(_xlfn.T.INV.2T(0.05,[1]constants!$K10-1)*_xlfn.STDEV.S(IF(_xlfn.ANCHORARRAY([1]constants!$H$2)=$B10,'[1]raw data'!AG$2:AG$118))/SQRT([1]constants!K10))^2)</f>
        <v>0.14474829832027022</v>
      </c>
      <c r="H10" s="6" cm="1">
        <f t="array" ref="H10">_xlfn.T.INV.2T(0.05,[1]constants!$K10-1)*_xlfn.STDEV.S(IF(_xlfn.ANCHORARRAY([1]constants!$H$2)=$B10,'[1]raw data'!O$2:O$118))/SQRT([1]constants!$K10)</f>
        <v>1.376904633767792E-2</v>
      </c>
      <c r="I10" s="6" cm="1">
        <f t="array" ref="I10">_xlfn.T.INV.2T(0.05,[1]constants!$K10-1)*_xlfn.STDEV.S(IF(_xlfn.ANCHORARRAY([1]constants!$H$2)=$B10,'[1]raw data'!P$2:P$118))/SQRT([1]constants!$K10)</f>
        <v>1.2994915042008769E-2</v>
      </c>
      <c r="J10" s="6" cm="1">
        <f t="array" ref="J10">_xlfn.T.INV.2T(0.05,[1]constants!$K10-1)*_xlfn.STDEV.S(IF(_xlfn.ANCHORARRAY([1]constants!$H$2)=$B10,'[1]raw data'!Q$2:Q$118))/SQRT([1]constants!$K10)</f>
        <v>1.3820729570207337E-2</v>
      </c>
      <c r="K10" s="6" cm="1">
        <f t="array" ref="K10">_xlfn.T.INV.2T(0.05,[1]constants!$K10-1)*_xlfn.STDEV.S(IF(_xlfn.ANCHORARRAY([1]constants!$H$2)=$B10,'[1]raw data'!R$2:R$118))/SQRT([1]constants!$K10)</f>
        <v>1.6594026160159796E-2</v>
      </c>
      <c r="L10" s="6" cm="1">
        <f t="array" ref="L10">SQRT((SQRT(SUMIF(_xlfn.ANCHORARRAY([1]constants!$H$2),$B10,[1]constants!N$2:N$118))/[1]constants!K10)^2+(_xlfn.T.INV.2T(0.05,[1]constants!$K10-1)*_xlfn.STDEV.S(IF(_xlfn.ANCHORARRAY([1]constants!$H$2)=$B10,'[1]raw data'!AH$2:AH$118))/SQRT([1]constants!$K10))^2)</f>
        <v>6.831559800489892E-2</v>
      </c>
      <c r="M10" s="6" cm="1">
        <f t="array" ref="M10">_xlfn.T.INV.2T(0.05,[1]constants!$K10-1)*_xlfn.STDEV.S(IF(_xlfn.ANCHORARRAY([1]constants!$H$2)=$B10,'[1]raw data'!S$2:S$118))/SQRT([1]constants!$K10)</f>
        <v>5.9413389683530974E-3</v>
      </c>
      <c r="N10" s="6" cm="1">
        <f t="array" ref="N10">_xlfn.T.INV.2T(0.05,[1]constants!$K10-1)*_xlfn.STDEV.S(IF(_xlfn.ANCHORARRAY([1]constants!$H$2)=$B10,'[1]raw data'!T$2:T$118))/SQRT([1]constants!$K10)</f>
        <v>2.3631382264393992E-3</v>
      </c>
      <c r="O10" s="6" cm="1">
        <f t="array" ref="O10">_xlfn.T.INV.2T(0.05,[1]constants!$K10-1)*_xlfn.STDEV.S(IF(_xlfn.ANCHORARRAY([1]constants!$H$2)=$B10,'[1]raw data'!U$2:U$118))/SQRT([1]constants!$K10)</f>
        <v>1.0502399209175242E-2</v>
      </c>
      <c r="P10" s="6" cm="1">
        <f t="array" ref="P10">_xlfn.T.INV.2T(0.05,[1]constants!$K10-1)*_xlfn.STDEV.S(IF(_xlfn.ANCHORARRAY([1]constants!$H$2)=$B10,'[1]raw data'!V$2:V$118))/SQRT([1]constants!$K10)</f>
        <v>1.1994865177618679E-2</v>
      </c>
      <c r="Q10" s="6" cm="1">
        <f t="array" ref="Q10">SQRT((SQRT(SUMIF(_xlfn.ANCHORARRAY([1]constants!$H$2),$B10,[1]constants!O$2:O$118))/[1]constants!K10)^2+(_xlfn.T.INV.2T(0.05,[1]constants!$K10-1)*_xlfn.STDEV.S(IF(_xlfn.ANCHORARRAY([1]constants!$H$2)=$B10,'[1]raw data'!AI$2:AI$118))/SQRT([1]constants!$K10))^2)</f>
        <v>0.22017244915629033</v>
      </c>
      <c r="R10" s="6" cm="1">
        <f t="array" ref="R10">_xlfn.T.INV.2T(0.05,[1]constants!$K10-1)*_xlfn.STDEV.S(IF(_xlfn.ANCHORARRAY([1]constants!$H$2)=$B10,'[1]raw data'!Y$2:Y$118))/SQRT([1]constants!$K10)</f>
        <v>11.731696140556103</v>
      </c>
      <c r="S10" s="6" cm="1">
        <f t="array" ref="S10">_xlfn.T.INV.2T(0.05,[1]constants!$K10-1)*_xlfn.STDEV.S(IF(_xlfn.ANCHORARRAY([1]constants!$H$2)=$B10,'[1]raw data'!Z$2:Z$118))/SQRT([1]constants!$K10)</f>
        <v>5.0324916002958808</v>
      </c>
      <c r="T10" s="2" cm="1">
        <f t="array" ref="T10">_xlfn.T.INV.2T(0.05,[1]constants!$K10-1)*_xlfn.STDEV.S(IF(_xlfn.ANCHORARRAY([1]constants!$H$2)=$B10,'[1]raw data'!AA$2:AA$118))/SQRT([1]constants!$K10)</f>
        <v>9.1665197574117464E-5</v>
      </c>
      <c r="U10" s="2" cm="1">
        <f t="array" ref="U10">_xlfn.T.INV.2T(0.05,[1]constants!$K10-1)*_xlfn.STDEV.S(IF(_xlfn.ANCHORARRAY([1]constants!$H$2)=$B10,'[1]raw data'!AB$2:AB$118))/SQRT([1]constants!$K10)</f>
        <v>8.8736880517054626E-4</v>
      </c>
      <c r="V10" s="2" cm="1">
        <f t="array" ref="V10">_xlfn.T.INV.2T(0.05,[1]constants!$K10-1)*_xlfn.STDEV.S(IF(_xlfn.ANCHORARRAY([1]constants!$H$2)=$B10,'[1]raw data'!AC$2:AC$118))/SQRT([1]constants!$K10)</f>
        <v>7.1654843055930641E-6</v>
      </c>
      <c r="W10" s="2" cm="1">
        <f t="array" ref="W10">_xlfn.T.INV.2T(0.05,[1]constants!$K10-1)*_xlfn.STDEV.S(IF(_xlfn.ANCHORARRAY([1]constants!$H$2)=$B10,'[1]raw data'!AD$2:AD$118))/SQRT([1]constants!$K10)</f>
        <v>6.9365772561404373E-5</v>
      </c>
      <c r="X10" s="2" cm="1">
        <f t="array" ref="X10">_xlfn.T.INV.2T(0.05,[1]constants!$K10-1)*_xlfn.STDEV.S(IF(_xlfn.ANCHORARRAY([1]constants!$H$2)=$B10,'[1]raw data'!AE$2:AE$118))/SQRT([1]constants!$K10)</f>
        <v>9.3202422132222291E-5</v>
      </c>
      <c r="Y10" s="6" cm="1">
        <f t="array" ref="Y10">_xlfn.T.INV.2T(0.05,[1]constants!$K10-1)*_xlfn.STDEV.S(IF(_xlfn.ANCHORARRAY([1]constants!$H$2)=$B10,'[1]raw data'!AF$2:AF$118))/SQRT([1]constants!$K10)</f>
        <v>4.9447834562591358E-3</v>
      </c>
    </row>
    <row r="11" spans="1:25" x14ac:dyDescent="0.3">
      <c r="A11" s="2" t="str">
        <f>[1]averages!A11</f>
        <v>R48M675TH13</v>
      </c>
      <c r="B11" s="3">
        <v>13</v>
      </c>
      <c r="C11" s="6" cm="1">
        <f t="array" ref="C11">_xlfn.T.INV.2T(0.05,[1]constants!$K11-1)*_xlfn.STDEV.S(IF(_xlfn.ANCHORARRAY([1]constants!$H$2)=$B11,'[1]raw data'!K$2:K$118))/SQRT([1]constants!$K11)</f>
        <v>5.5690993297360936E-3</v>
      </c>
      <c r="D11" s="6" cm="1">
        <f t="array" ref="D11">_xlfn.T.INV.2T(0.05,[1]constants!$K11-1)*_xlfn.STDEV.S(IF(_xlfn.ANCHORARRAY([1]constants!$H$2)=$B11,'[1]raw data'!L$2:L$118))/SQRT([1]constants!$K11)</f>
        <v>2.9793086003549111E-3</v>
      </c>
      <c r="E11" s="6" cm="1">
        <f t="array" ref="E11">_xlfn.T.INV.2T(0.05,[1]constants!$K11-1)*_xlfn.STDEV.S(IF(_xlfn.ANCHORARRAY([1]constants!$H$2)=$B11,'[1]raw data'!M$2:M$118))/SQRT([1]constants!$K11)</f>
        <v>2.6312538944399037E-3</v>
      </c>
      <c r="F11" s="6">
        <f>IFERROR(_xlfn.T.INV.2T(0.05,[1]constants!$L11-1)*_xlfn.STDEV.S('[1]raw data'!N97:N105)/SQRT([1]constants!$L11),0)</f>
        <v>4.3233907802966778E-3</v>
      </c>
      <c r="G11" s="6" cm="1">
        <f t="array" ref="G11">SQRT((SQRT(SUMIF(_xlfn.ANCHORARRAY([1]constants!$H$2),$B11,[1]constants!M$2:M$118))/[1]constants!K11)^2+(_xlfn.T.INV.2T(0.05,[1]constants!$K11-1)*_xlfn.STDEV.S(IF(_xlfn.ANCHORARRAY([1]constants!$H$2)=$B11,'[1]raw data'!AG$2:AG$118))/SQRT([1]constants!K11))^2)</f>
        <v>0.96835233880916594</v>
      </c>
      <c r="H11" s="6" cm="1">
        <f t="array" ref="H11">_xlfn.T.INV.2T(0.05,[1]constants!$K11-1)*_xlfn.STDEV.S(IF(_xlfn.ANCHORARRAY([1]constants!$H$2)=$B11,'[1]raw data'!O$2:O$118))/SQRT([1]constants!$K11)</f>
        <v>9.3004272788590713E-3</v>
      </c>
      <c r="I11" s="6" cm="1">
        <f t="array" ref="I11">_xlfn.T.INV.2T(0.05,[1]constants!$K11-1)*_xlfn.STDEV.S(IF(_xlfn.ANCHORARRAY([1]constants!$H$2)=$B11,'[1]raw data'!P$2:P$118))/SQRT([1]constants!$K11)</f>
        <v>7.5834012419699016E-3</v>
      </c>
      <c r="J11" s="6" cm="1">
        <f t="array" ref="J11">_xlfn.T.INV.2T(0.05,[1]constants!$K11-1)*_xlfn.STDEV.S(IF(_xlfn.ANCHORARRAY([1]constants!$H$2)=$B11,'[1]raw data'!Q$2:Q$118))/SQRT([1]constants!$K11)</f>
        <v>6.3047814956770634E-3</v>
      </c>
      <c r="K11" s="6" cm="1">
        <f t="array" ref="K11">_xlfn.T.INV.2T(0.05,[1]constants!$K11-1)*_xlfn.STDEV.S(IF(_xlfn.ANCHORARRAY([1]constants!$H$2)=$B11,'[1]raw data'!R$2:R$118))/SQRT([1]constants!$K11)</f>
        <v>8.4575444907517457E-3</v>
      </c>
      <c r="L11" s="6" cm="1">
        <f t="array" ref="L11">SQRT((SQRT(SUMIF(_xlfn.ANCHORARRAY([1]constants!$H$2),$B11,[1]constants!N$2:N$118))/[1]constants!K11)^2+(_xlfn.T.INV.2T(0.05,[1]constants!$K11-1)*_xlfn.STDEV.S(IF(_xlfn.ANCHORARRAY([1]constants!$H$2)=$B11,'[1]raw data'!AH$2:AH$118))/SQRT([1]constants!$K11))^2)</f>
        <v>6.0972824758523149E-2</v>
      </c>
      <c r="M11" s="6" cm="1">
        <f t="array" ref="M11">_xlfn.T.INV.2T(0.05,[1]constants!$K11-1)*_xlfn.STDEV.S(IF(_xlfn.ANCHORARRAY([1]constants!$H$2)=$B11,'[1]raw data'!S$2:S$118))/SQRT([1]constants!$K11)</f>
        <v>8.646781560593066E-3</v>
      </c>
      <c r="N11" s="6" cm="1">
        <f t="array" ref="N11">_xlfn.T.INV.2T(0.05,[1]constants!$K11-1)*_xlfn.STDEV.S(IF(_xlfn.ANCHORARRAY([1]constants!$H$2)=$B11,'[1]raw data'!T$2:T$118))/SQRT([1]constants!$K11)</f>
        <v>5.4109761661511931E-3</v>
      </c>
      <c r="O11" s="6" cm="1">
        <f t="array" ref="O11">_xlfn.T.INV.2T(0.05,[1]constants!$K11-1)*_xlfn.STDEV.S(IF(_xlfn.ANCHORARRAY([1]constants!$H$2)=$B11,'[1]raw data'!U$2:U$118))/SQRT([1]constants!$K11)</f>
        <v>2.6360364356413624E-3</v>
      </c>
      <c r="P11" s="6" cm="1">
        <f t="array" ref="P11">_xlfn.T.INV.2T(0.05,[1]constants!$K11-1)*_xlfn.STDEV.S(IF(_xlfn.ANCHORARRAY([1]constants!$H$2)=$B11,'[1]raw data'!V$2:V$118))/SQRT([1]constants!$K11)</f>
        <v>1.5608234613332713E-2</v>
      </c>
      <c r="Q11" s="6" cm="1">
        <f t="array" ref="Q11">SQRT((SQRT(SUMIF(_xlfn.ANCHORARRAY([1]constants!$H$2),$B11,[1]constants!O$2:O$118))/[1]constants!K11)^2+(_xlfn.T.INV.2T(0.05,[1]constants!$K11-1)*_xlfn.STDEV.S(IF(_xlfn.ANCHORARRAY([1]constants!$H$2)=$B11,'[1]raw data'!AI$2:AI$118))/SQRT([1]constants!$K11))^2)</f>
        <v>0.22303599990485945</v>
      </c>
      <c r="R11" s="6" cm="1">
        <f t="array" ref="R11">_xlfn.T.INV.2T(0.05,[1]constants!$K11-1)*_xlfn.STDEV.S(IF(_xlfn.ANCHORARRAY([1]constants!$H$2)=$B11,'[1]raw data'!Y$2:Y$118))/SQRT([1]constants!$K11)</f>
        <v>7.0921268619775963</v>
      </c>
      <c r="S11" s="6" cm="1">
        <f t="array" ref="S11">_xlfn.T.INV.2T(0.05,[1]constants!$K11-1)*_xlfn.STDEV.S(IF(_xlfn.ANCHORARRAY([1]constants!$H$2)=$B11,'[1]raw data'!Z$2:Z$118))/SQRT([1]constants!$K11)</f>
        <v>3.5904170414881125</v>
      </c>
      <c r="T11" s="2" cm="1">
        <f t="array" ref="T11">_xlfn.T.INV.2T(0.05,[1]constants!$K11-1)*_xlfn.STDEV.S(IF(_xlfn.ANCHORARRAY([1]constants!$H$2)=$B11,'[1]raw data'!AA$2:AA$118))/SQRT([1]constants!$K11)</f>
        <v>5.0139074065987774E-5</v>
      </c>
      <c r="U11" s="2" cm="1">
        <f t="array" ref="U11">_xlfn.T.INV.2T(0.05,[1]constants!$K11-1)*_xlfn.STDEV.S(IF(_xlfn.ANCHORARRAY([1]constants!$H$2)=$B11,'[1]raw data'!AB$2:AB$118))/SQRT([1]constants!$K11)</f>
        <v>4.8537341787016186E-4</v>
      </c>
      <c r="V11" s="2" cm="1">
        <f t="array" ref="V11">_xlfn.T.INV.2T(0.05,[1]constants!$K11-1)*_xlfn.STDEV.S(IF(_xlfn.ANCHORARRAY([1]constants!$H$2)=$B11,'[1]raw data'!AC$2:AC$118))/SQRT([1]constants!$K11)</f>
        <v>4.5204763323077307E-6</v>
      </c>
      <c r="W11" s="2" cm="1">
        <f t="array" ref="W11">_xlfn.T.INV.2T(0.05,[1]constants!$K11-1)*_xlfn.STDEV.S(IF(_xlfn.ANCHORARRAY([1]constants!$H$2)=$B11,'[1]raw data'!AD$2:AD$118))/SQRT([1]constants!$K11)</f>
        <v>4.3760661493782494E-5</v>
      </c>
      <c r="X11" s="2" cm="1">
        <f t="array" ref="X11">_xlfn.T.INV.2T(0.05,[1]constants!$K11-1)*_xlfn.STDEV.S(IF(_xlfn.ANCHORARRAY([1]constants!$H$2)=$B11,'[1]raw data'!AE$2:AE$118))/SQRT([1]constants!$K11)</f>
        <v>5.3803804271531521E-5</v>
      </c>
      <c r="Y11" s="6" cm="1">
        <f t="array" ref="Y11">_xlfn.T.INV.2T(0.05,[1]constants!$K11-1)*_xlfn.STDEV.S(IF(_xlfn.ANCHORARRAY([1]constants!$H$2)=$B11,'[1]raw data'!AF$2:AF$118))/SQRT([1]constants!$K11)</f>
        <v>2.4074111700392365E-3</v>
      </c>
    </row>
    <row r="12" spans="1:25" x14ac:dyDescent="0.3">
      <c r="A12" s="2" t="str">
        <f>[1]averages!A12</f>
        <v>R48M675TH14</v>
      </c>
      <c r="B12" s="3">
        <v>14</v>
      </c>
      <c r="C12" s="6" cm="1">
        <f t="array" ref="C12">_xlfn.T.INV.2T(0.05,[1]constants!$K12-1)*_xlfn.STDEV.S(IF(_xlfn.ANCHORARRAY([1]constants!$H$2)=$B12,'[1]raw data'!K$2:K$118))/SQRT([1]constants!$K12)</f>
        <v>5.5757521584886794E-3</v>
      </c>
      <c r="D12" s="6" cm="1">
        <f t="array" ref="D12">_xlfn.T.INV.2T(0.05,[1]constants!$K12-1)*_xlfn.STDEV.S(IF(_xlfn.ANCHORARRAY([1]constants!$H$2)=$B12,'[1]raw data'!L$2:L$118))/SQRT([1]constants!$K12)</f>
        <v>3.2476468207272907E-3</v>
      </c>
      <c r="E12" s="6" cm="1">
        <f t="array" ref="E12">_xlfn.T.INV.2T(0.05,[1]constants!$K12-1)*_xlfn.STDEV.S(IF(_xlfn.ANCHORARRAY([1]constants!$H$2)=$B12,'[1]raw data'!M$2:M$118))/SQRT([1]constants!$K12)</f>
        <v>2.5264806284477381E-3</v>
      </c>
      <c r="F12" s="6" cm="1">
        <f t="array" ref="F12">IFERROR(_xlfn.T.INV.2T(0.05,[1]constants!$L12-1)*_xlfn.STDEV.S(IF(_xlfn.ANCHORARRAY([1]constants!$H$2)=$B12,'[1]raw data'!N$2:N$118))/SQRT([1]constants!$L12),0)</f>
        <v>3.1762437379809815E-3</v>
      </c>
      <c r="G12" s="6" cm="1">
        <f t="array" ref="G12">SQRT((SQRT(SUMIF(_xlfn.ANCHORARRAY([1]constants!$H$2),$B12,[1]constants!M$2:M$118))/[1]constants!K12)^2+(_xlfn.T.INV.2T(0.05,[1]constants!$K12-1)*_xlfn.STDEV.S(IF(_xlfn.ANCHORARRAY([1]constants!$H$2)=$B12,'[1]raw data'!AG$2:AG$118))/SQRT([1]constants!K12))^2)</f>
        <v>0.13438111093676866</v>
      </c>
      <c r="H12" s="6" cm="1">
        <f t="array" ref="H12">_xlfn.T.INV.2T(0.05,[1]constants!$K12-1)*_xlfn.STDEV.S(IF(_xlfn.ANCHORARRAY([1]constants!$H$2)=$B12,'[1]raw data'!O$2:O$118))/SQRT([1]constants!$K12)</f>
        <v>1.2506951239200422E-2</v>
      </c>
      <c r="I12" s="6" cm="1">
        <f t="array" ref="I12">_xlfn.T.INV.2T(0.05,[1]constants!$K12-1)*_xlfn.STDEV.S(IF(_xlfn.ANCHORARRAY([1]constants!$H$2)=$B12,'[1]raw data'!P$2:P$118))/SQRT([1]constants!$K12)</f>
        <v>1.0527193999858674E-2</v>
      </c>
      <c r="J12" s="6" cm="1">
        <f t="array" ref="J12">_xlfn.T.INV.2T(0.05,[1]constants!$K12-1)*_xlfn.STDEV.S(IF(_xlfn.ANCHORARRAY([1]constants!$H$2)=$B12,'[1]raw data'!Q$2:Q$118))/SQRT([1]constants!$K12)</f>
        <v>1.0845542306303489E-2</v>
      </c>
      <c r="K12" s="6" cm="1">
        <f t="array" ref="K12">_xlfn.T.INV.2T(0.05,[1]constants!$K12-1)*_xlfn.STDEV.S(IF(_xlfn.ANCHORARRAY([1]constants!$H$2)=$B12,'[1]raw data'!R$2:R$118))/SQRT([1]constants!$K12)</f>
        <v>9.9720800873120494E-3</v>
      </c>
      <c r="L12" s="6" cm="1">
        <f t="array" ref="L12">SQRT((SQRT(SUMIF(_xlfn.ANCHORARRAY([1]constants!$H$2),$B12,[1]constants!N$2:N$118))/[1]constants!K12)^2+(_xlfn.T.INV.2T(0.05,[1]constants!$K12-1)*_xlfn.STDEV.S(IF(_xlfn.ANCHORARRAY([1]constants!$H$2)=$B12,'[1]raw data'!AH$2:AH$118))/SQRT([1]constants!$K12))^2)</f>
        <v>6.1049251680698843E-2</v>
      </c>
      <c r="M12" s="6" cm="1">
        <f t="array" ref="M12">_xlfn.T.INV.2T(0.05,[1]constants!$K12-1)*_xlfn.STDEV.S(IF(_xlfn.ANCHORARRAY([1]constants!$H$2)=$B12,'[1]raw data'!S$2:S$118))/SQRT([1]constants!$K12)</f>
        <v>1.4159495584522312E-2</v>
      </c>
      <c r="N12" s="6" cm="1">
        <f t="array" ref="N12">_xlfn.T.INV.2T(0.05,[1]constants!$K12-1)*_xlfn.STDEV.S(IF(_xlfn.ANCHORARRAY([1]constants!$H$2)=$B12,'[1]raw data'!T$2:T$118))/SQRT([1]constants!$K12)</f>
        <v>9.4240704779294058E-3</v>
      </c>
      <c r="O12" s="6" cm="1">
        <f t="array" ref="O12">_xlfn.T.INV.2T(0.05,[1]constants!$K12-1)*_xlfn.STDEV.S(IF(_xlfn.ANCHORARRAY([1]constants!$H$2)=$B12,'[1]raw data'!U$2:U$118))/SQRT([1]constants!$K12)</f>
        <v>5.8196286513267454E-3</v>
      </c>
      <c r="P12" s="6" cm="1">
        <f t="array" ref="P12">_xlfn.T.INV.2T(0.05,[1]constants!$K12-1)*_xlfn.STDEV.S(IF(_xlfn.ANCHORARRAY([1]constants!$H$2)=$B12,'[1]raw data'!V$2:V$118))/SQRT([1]constants!$K12)</f>
        <v>1.9570550054902856E-2</v>
      </c>
      <c r="Q12" s="6" cm="1">
        <f t="array" ref="Q12">SQRT((SQRT(SUMIF(_xlfn.ANCHORARRAY([1]constants!$H$2),$B12,[1]constants!O$2:O$118))/[1]constants!K12)^2+(_xlfn.T.INV.2T(0.05,[1]constants!$K12-1)*_xlfn.STDEV.S(IF(_xlfn.ANCHORARRAY([1]constants!$H$2)=$B12,'[1]raw data'!AI$2:AI$118))/SQRT([1]constants!$K12))^2)</f>
        <v>0.23968519379238612</v>
      </c>
      <c r="R12" s="6" cm="1">
        <f t="array" ref="R12">_xlfn.T.INV.2T(0.05,[1]constants!$K12-1)*_xlfn.STDEV.S(IF(_xlfn.ANCHORARRAY([1]constants!$H$2)=$B12,'[1]raw data'!Y$2:Y$118))/SQRT([1]constants!$K12)</f>
        <v>11.125663121295252</v>
      </c>
      <c r="S12" s="6" cm="1">
        <f t="array" ref="S12">_xlfn.T.INV.2T(0.05,[1]constants!$K12-1)*_xlfn.STDEV.S(IF(_xlfn.ANCHORARRAY([1]constants!$H$2)=$B12,'[1]raw data'!Z$2:Z$118))/SQRT([1]constants!$K12)</f>
        <v>6.3378642022519704</v>
      </c>
      <c r="T12" s="2" cm="1">
        <f t="array" ref="T12">_xlfn.T.INV.2T(0.05,[1]constants!$K12-1)*_xlfn.STDEV.S(IF(_xlfn.ANCHORARRAY([1]constants!$H$2)=$B12,'[1]raw data'!AA$2:AA$118))/SQRT([1]constants!$K12)</f>
        <v>9.0923414602314201E-5</v>
      </c>
      <c r="U12" s="2" cm="1">
        <f t="array" ref="U12">_xlfn.T.INV.2T(0.05,[1]constants!$K12-1)*_xlfn.STDEV.S(IF(_xlfn.ANCHORARRAY([1]constants!$H$2)=$B12,'[1]raw data'!AB$2:AB$118))/SQRT([1]constants!$K12)</f>
        <v>8.8018794387525838E-4</v>
      </c>
      <c r="V12" s="2" cm="1">
        <f t="array" ref="V12">_xlfn.T.INV.2T(0.05,[1]constants!$K12-1)*_xlfn.STDEV.S(IF(_xlfn.ANCHORARRAY([1]constants!$H$2)=$B12,'[1]raw data'!AC$2:AC$118))/SQRT([1]constants!$K12)</f>
        <v>9.3604748074051699E-6</v>
      </c>
      <c r="W12" s="2" cm="1">
        <f t="array" ref="W12">_xlfn.T.INV.2T(0.05,[1]constants!$K12-1)*_xlfn.STDEV.S(IF(_xlfn.ANCHORARRAY([1]constants!$H$2)=$B12,'[1]raw data'!AD$2:AD$118))/SQRT([1]constants!$K12)</f>
        <v>9.0614470546032623E-5</v>
      </c>
      <c r="X12" s="2" cm="1">
        <f t="array" ref="X12">_xlfn.T.INV.2T(0.05,[1]constants!$K12-1)*_xlfn.STDEV.S(IF(_xlfn.ANCHORARRAY([1]constants!$H$2)=$B12,'[1]raw data'!AE$2:AE$118))/SQRT([1]constants!$K12)</f>
        <v>1.0194353370186082E-4</v>
      </c>
      <c r="Y12" s="6" cm="1">
        <f t="array" ref="Y12">_xlfn.T.INV.2T(0.05,[1]constants!$K12-1)*_xlfn.STDEV.S(IF(_xlfn.ANCHORARRAY([1]constants!$H$2)=$B12,'[1]raw data'!AF$2:AF$118))/SQRT([1]constants!$K12)</f>
        <v>3.0245609901168916E-3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averages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Wagner, Lauren N. (ARC-AV)</dc:creator>
  <cp:lastModifiedBy>Wagner, Lauren N. (ARC-AV)</cp:lastModifiedBy>
  <dcterms:created xsi:type="dcterms:W3CDTF">2023-09-27T22:47:18Z</dcterms:created>
  <dcterms:modified xsi:type="dcterms:W3CDTF">2023-09-28T19:28:30Z</dcterms:modified>
</cp:coreProperties>
</file>